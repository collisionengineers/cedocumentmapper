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929" codeName="{28389E77-7640-9E18-AD5C-E98E2F4A8B83}"/>
  <workbookPr codeName="ThisWorkbook"/>
  <mc:AlternateContent xmlns:mc="http://schemas.openxmlformats.org/markup-compatibility/2006">
    <mc:Choice Requires="x15">
      <x15ac:absPath xmlns:x15ac="http://schemas.microsoft.com/office/spreadsheetml/2010/11/ac" url="C:\Users\PGUSER\Desktop\"/>
    </mc:Choice>
  </mc:AlternateContent>
  <xr:revisionPtr revIDLastSave="0" documentId="13_ncr:1_{9A175F61-D7D9-43BB-B394-27A6077E9579}" xr6:coauthVersionLast="47" xr6:coauthVersionMax="47" xr10:uidLastSave="{00000000-0000-0000-0000-000000000000}"/>
  <bookViews>
    <workbookView xWindow="28680" yWindow="-120" windowWidth="29040" windowHeight="16440" xr2:uid="{00000000-000D-0000-FFFF-FFFF00000000}"/>
  </bookViews>
  <sheets>
    <sheet name="Jobs" sheetId="8" r:id="rId1"/>
    <sheet name="Own figures" sheetId="11" r:id="rId2"/>
    <sheet name="Principals" sheetId="9" r:id="rId3"/>
    <sheet name="Garages" sheetId="10" r:id="rId4"/>
  </sheets>
  <definedNames>
    <definedName name="_xlnm._FilterDatabase" localSheetId="3" hidden="1">Garages!$B$2:$F$40</definedName>
    <definedName name="_xlnm._FilterDatabase" localSheetId="0" hidden="1">Jobs!$A$6:$AE$63</definedName>
    <definedName name="_xlnm._FilterDatabase" localSheetId="2" hidden="1">Principals!$B$2:$K$60</definedName>
    <definedName name="_xleta.INFO" hidden="1" xlm="1">#NAME?</definedName>
    <definedName name="_xleta.ROW" hidden="1" xlm="1">#NAME?</definedName>
    <definedName name="_xlpm.clean" hidden="1" xlm="1">#NAME?</definedName>
    <definedName name="_xlpm.cnt" hidden="1" xlm="1">#NAME?</definedName>
    <definedName name="_xlpm.counts" hidden="1" xlm="1">#NAME?</definedName>
    <definedName name="_xlpm.data" hidden="1" xlm="1">#NAME?</definedName>
    <definedName name="_xlpm.items" hidden="1" xlm="1">#NAME?</definedName>
    <definedName name="_xlpm.names" hidden="1" xlm="1">#NAME?</definedName>
    <definedName name="_xlpm.ord" hidden="1" xlm="1">#NAME?</definedName>
    <definedName name="_xlpm.prefix" hidden="1" xlm="1">#NAME?</definedName>
    <definedName name="_xlpm.s_cnt" hidden="1" xlm="1">#NAME?</definedName>
    <definedName name="_xlpm.s_names" hidden="1" xlm="1">#NAME?</definedName>
    <definedName name="_xlpm.sorted" hidden="1" xlm="1">#NAME?</definedName>
    <definedName name="_xlpm.suffix" hidden="1" xlm="1">#NAME?</definedName>
    <definedName name="_xlpm.u" hidden="1" xlm="1">#NAME?</definedName>
    <definedName name="_xlpm.uniq" hidden="1" xlm="1">#NAME?</definedName>
    <definedName name="_xlpm.x"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59" i="8" l="1"/>
  <c r="K59" i="8"/>
  <c r="J59" i="8"/>
  <c r="K82" i="8"/>
  <c r="N58" i="8"/>
  <c r="N71" i="8"/>
  <c r="N72" i="8"/>
  <c r="N73" i="8"/>
  <c r="N74" i="8"/>
  <c r="N75" i="8"/>
  <c r="N76" i="8"/>
  <c r="N77" i="8"/>
  <c r="N78" i="8"/>
  <c r="N79" i="8"/>
  <c r="N80" i="8"/>
  <c r="N81" i="8"/>
  <c r="N82" i="8"/>
  <c r="N83" i="8"/>
  <c r="N84" i="8"/>
  <c r="N85" i="8"/>
  <c r="N86" i="8"/>
  <c r="N87" i="8"/>
  <c r="N88" i="8"/>
  <c r="N89" i="8"/>
  <c r="N90" i="8"/>
  <c r="K88" i="8"/>
  <c r="J88" i="8"/>
  <c r="J87" i="8"/>
  <c r="K87" i="8"/>
  <c r="J58" i="8"/>
  <c r="K58" i="8"/>
  <c r="J86" i="8"/>
  <c r="K86" i="8"/>
  <c r="J85" i="8"/>
  <c r="K85" i="8"/>
  <c r="J83" i="8"/>
  <c r="K83" i="8"/>
  <c r="J82" i="8"/>
  <c r="J81" i="8"/>
  <c r="K81" i="8"/>
  <c r="J80" i="8"/>
  <c r="K80" i="8"/>
  <c r="N51" i="8"/>
  <c r="K79" i="8"/>
  <c r="J79" i="8"/>
  <c r="K78" i="8"/>
  <c r="J78" i="8"/>
  <c r="K77" i="8"/>
  <c r="J77" i="8"/>
  <c r="J76" i="8"/>
  <c r="K76" i="8"/>
  <c r="N62" i="8"/>
  <c r="K62" i="8"/>
  <c r="J62" i="8"/>
  <c r="N61" i="8"/>
  <c r="K61" i="8"/>
  <c r="J61" i="8"/>
  <c r="N60" i="8"/>
  <c r="K60" i="8"/>
  <c r="J60" i="8"/>
  <c r="N57" i="8"/>
  <c r="K57" i="8"/>
  <c r="J57" i="8"/>
  <c r="N56" i="8"/>
  <c r="K56" i="8"/>
  <c r="J56" i="8"/>
  <c r="N55" i="8"/>
  <c r="K55" i="8"/>
  <c r="J55" i="8"/>
  <c r="K90" i="8"/>
  <c r="J90" i="8"/>
  <c r="K89" i="8"/>
  <c r="J89" i="8"/>
  <c r="K84" i="8"/>
  <c r="J84" i="8"/>
  <c r="N54" i="8"/>
  <c r="K54" i="8"/>
  <c r="J54" i="8"/>
  <c r="N53" i="8"/>
  <c r="K53" i="8"/>
  <c r="J53" i="8"/>
  <c r="N52" i="8"/>
  <c r="K52" i="8"/>
  <c r="J52" i="8"/>
  <c r="J51" i="8"/>
  <c r="K51" i="8"/>
  <c r="N68" i="8"/>
  <c r="N69" i="8"/>
  <c r="N70" i="8"/>
  <c r="J49" i="8"/>
  <c r="J50" i="8"/>
  <c r="K75" i="8"/>
  <c r="J75" i="8"/>
  <c r="K74" i="8"/>
  <c r="J74" i="8"/>
  <c r="J73" i="8"/>
  <c r="K73" i="8"/>
  <c r="N49" i="8"/>
  <c r="N50" i="8"/>
  <c r="N48" i="8"/>
  <c r="J48" i="8"/>
  <c r="J72" i="8"/>
  <c r="K72" i="8"/>
  <c r="K48" i="8"/>
  <c r="K49" i="8" s="1"/>
  <c r="K50" i="8" s="1"/>
  <c r="K71" i="8"/>
  <c r="J71" i="8"/>
  <c r="N47" i="8"/>
  <c r="K47" i="8"/>
  <c r="J47" i="8"/>
  <c r="N46" i="8"/>
  <c r="K46" i="8"/>
  <c r="J46" i="8"/>
  <c r="N45" i="8"/>
  <c r="K45" i="8"/>
  <c r="J45" i="8"/>
  <c r="N44" i="8"/>
  <c r="K44" i="8"/>
  <c r="J44" i="8"/>
  <c r="N43" i="8"/>
  <c r="K43" i="8"/>
  <c r="J43" i="8"/>
  <c r="N42" i="8"/>
  <c r="K42" i="8"/>
  <c r="J42" i="8"/>
  <c r="N41" i="8"/>
  <c r="K41" i="8"/>
  <c r="J41" i="8"/>
  <c r="J34" i="8"/>
  <c r="J39" i="8"/>
  <c r="N40" i="8"/>
  <c r="K40" i="8"/>
  <c r="J40" i="8"/>
  <c r="J70" i="8"/>
  <c r="K70" i="8"/>
  <c r="N39" i="8"/>
  <c r="K39" i="8"/>
  <c r="J69" i="8"/>
  <c r="K69" i="8"/>
  <c r="N38" i="8"/>
  <c r="K38" i="8"/>
  <c r="J38" i="8"/>
  <c r="N37" i="8"/>
  <c r="K37" i="8"/>
  <c r="J37" i="8"/>
  <c r="N36" i="8"/>
  <c r="K36" i="8"/>
  <c r="J36" i="8"/>
  <c r="J68" i="8"/>
  <c r="K68" i="8"/>
  <c r="N35" i="8"/>
  <c r="K35" i="8"/>
  <c r="J35" i="8"/>
  <c r="N34" i="8"/>
  <c r="K34" i="8"/>
  <c r="N33" i="8"/>
  <c r="K33" i="8"/>
  <c r="J33" i="8"/>
  <c r="N32" i="8"/>
  <c r="K32" i="8"/>
  <c r="J32" i="8"/>
  <c r="J26" i="8"/>
  <c r="J30" i="8"/>
  <c r="J29" i="8"/>
  <c r="N31" i="8"/>
  <c r="K31" i="8"/>
  <c r="J31" i="8"/>
  <c r="N30" i="8"/>
  <c r="K30" i="8"/>
  <c r="N29" i="8"/>
  <c r="K29" i="8"/>
  <c r="N28" i="8"/>
  <c r="K28" i="8"/>
  <c r="J28" i="8"/>
  <c r="N27" i="8"/>
  <c r="K27" i="8"/>
  <c r="J27" i="8"/>
  <c r="N26" i="8"/>
  <c r="K26" i="8"/>
  <c r="N25" i="8"/>
  <c r="K25" i="8"/>
  <c r="J25" i="8"/>
  <c r="N24" i="8"/>
  <c r="K24" i="8"/>
  <c r="J24" i="8"/>
  <c r="N23" i="8"/>
  <c r="K23" i="8"/>
  <c r="J23" i="8"/>
  <c r="N22" i="8"/>
  <c r="K22" i="8"/>
  <c r="J22" i="8"/>
  <c r="N21" i="8"/>
  <c r="K21" i="8"/>
  <c r="J21" i="8"/>
  <c r="N20" i="8"/>
  <c r="K20" i="8"/>
  <c r="J20" i="8"/>
  <c r="N19" i="8"/>
  <c r="K19" i="8"/>
  <c r="J19" i="8"/>
  <c r="N18" i="8"/>
  <c r="K18" i="8"/>
  <c r="J18" i="8"/>
  <c r="N17" i="8"/>
  <c r="K17" i="8"/>
  <c r="J17" i="8"/>
  <c r="N16" i="8"/>
  <c r="K16" i="8"/>
  <c r="J16" i="8"/>
  <c r="N15" i="8"/>
  <c r="K15" i="8"/>
  <c r="J15" i="8"/>
  <c r="N14" i="8"/>
  <c r="K14" i="8"/>
  <c r="J14" i="8"/>
  <c r="N13" i="8"/>
  <c r="K13" i="8"/>
  <c r="J13" i="8"/>
  <c r="N12" i="8"/>
  <c r="K12" i="8"/>
  <c r="J12" i="8"/>
  <c r="N11" i="8"/>
  <c r="K11" i="8"/>
  <c r="J11" i="8"/>
  <c r="N10" i="8"/>
  <c r="K10" i="8"/>
  <c r="J10" i="8"/>
  <c r="K9" i="8"/>
  <c r="J9" i="8"/>
  <c r="N8" i="8"/>
  <c r="K8" i="8"/>
  <c r="J8" i="8"/>
  <c r="N7" i="8"/>
  <c r="K7" i="8"/>
  <c r="J7" i="8"/>
  <c r="AC6" i="8"/>
  <c r="AB6" i="8"/>
  <c r="AD6" i="8"/>
  <c r="AE6" i="8"/>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3">
    <bk>
      <extLst>
        <ext uri="{3e2802c4-a4d2-4d8b-9148-e3be6c30e623}">
          <xlrd:rvb i="0"/>
        </ext>
      </extLst>
    </bk>
    <bk>
      <extLst>
        <ext uri="{3e2802c4-a4d2-4d8b-9148-e3be6c30e623}">
          <xlrd:rvb i="1"/>
        </ext>
      </extLst>
    </bk>
    <bk>
      <extLst>
        <ext uri="{3e2802c4-a4d2-4d8b-9148-e3be6c30e623}">
          <xlrd:rvb i="2"/>
        </ext>
      </extLst>
    </bk>
  </futureMetadata>
  <valueMetadata count="3">
    <bk>
      <rc t="1" v="0"/>
    </bk>
    <bk>
      <rc t="1" v="1"/>
    </bk>
    <bk>
      <rc t="1" v="2"/>
    </bk>
  </valueMetadata>
</metadata>
</file>

<file path=xl/sharedStrings.xml><?xml version="1.0" encoding="utf-8"?>
<sst xmlns="http://schemas.openxmlformats.org/spreadsheetml/2006/main" count="1104" uniqueCount="746">
  <si>
    <t>Date</t>
  </si>
  <si>
    <t>VRM</t>
  </si>
  <si>
    <t>Principal</t>
  </si>
  <si>
    <t>Client</t>
  </si>
  <si>
    <t>Vehicle</t>
  </si>
  <si>
    <t>Due</t>
  </si>
  <si>
    <t>Notes</t>
  </si>
  <si>
    <t>KERR</t>
  </si>
  <si>
    <t>QDOS</t>
  </si>
  <si>
    <t>BLACK</t>
  </si>
  <si>
    <t>QCL</t>
  </si>
  <si>
    <t>SWAN</t>
  </si>
  <si>
    <t>ALL</t>
  </si>
  <si>
    <t>AX</t>
  </si>
  <si>
    <t>RJS</t>
  </si>
  <si>
    <t>KBS</t>
  </si>
  <si>
    <t>Toyota Prius</t>
  </si>
  <si>
    <t>SBL</t>
  </si>
  <si>
    <t>ACSP</t>
  </si>
  <si>
    <t>DFD</t>
  </si>
  <si>
    <t>OAK</t>
  </si>
  <si>
    <t>MP</t>
  </si>
  <si>
    <t>KMR</t>
  </si>
  <si>
    <t>Missing</t>
  </si>
  <si>
    <t>T2_START</t>
  </si>
  <si>
    <t>T1_START</t>
  </si>
  <si>
    <t>Add New Row</t>
  </si>
  <si>
    <t>Solicitor/Work Provider</t>
  </si>
  <si>
    <t>EVA Code</t>
  </si>
  <si>
    <t>Box Code</t>
  </si>
  <si>
    <t>Inbox</t>
  </si>
  <si>
    <t>Solicitors Instructions</t>
  </si>
  <si>
    <t>Drag in to EVA?</t>
  </si>
  <si>
    <t>Image based or address</t>
  </si>
  <si>
    <t>Sending Report</t>
  </si>
  <si>
    <t>Abrahams Solicitors</t>
  </si>
  <si>
    <t>ABRAHAMS</t>
  </si>
  <si>
    <t>Engineers</t>
  </si>
  <si>
    <t>Attached to email</t>
  </si>
  <si>
    <t>No</t>
  </si>
  <si>
    <t>Accident Specialists (Direct jobs)</t>
  </si>
  <si>
    <t>Direct they will confirm if in Storage or not - check board</t>
  </si>
  <si>
    <t>6/27/2025</t>
  </si>
  <si>
    <t>Accident Specialist group or request from client</t>
  </si>
  <si>
    <t>Return to file handler copy in admin@accidentspecialist.co.uk</t>
  </si>
  <si>
    <t>Affinity Seven Law Solicitors</t>
  </si>
  <si>
    <t>ASLS</t>
  </si>
  <si>
    <t>Word doc in Email</t>
  </si>
  <si>
    <t>Customer Whatsapp</t>
  </si>
  <si>
    <t>Alison Law</t>
  </si>
  <si>
    <t>ALISON</t>
  </si>
  <si>
    <t>Andrew/Engineers</t>
  </si>
  <si>
    <t>Usually get a message in whats app</t>
  </si>
  <si>
    <t>Return to file handler copy in marya.sheikh@alisonlaw.co.uk &amp; Bradford@alison-law.co.uk</t>
  </si>
  <si>
    <t>Alliance &amp;Cooper</t>
  </si>
  <si>
    <t xml:space="preserve">Contact client </t>
  </si>
  <si>
    <t>Confirm address with client</t>
  </si>
  <si>
    <t>Fee note separate return to file handler and lamiaa.fadl@ac-solicitors.co.uk</t>
  </si>
  <si>
    <t>Aman Solicitors Advocates</t>
  </si>
  <si>
    <t xml:space="preserve">AS </t>
  </si>
  <si>
    <t>Instructions in email</t>
  </si>
  <si>
    <t>Details should be in the email</t>
  </si>
  <si>
    <t xml:space="preserve">Depends on quality/quantity - image based </t>
  </si>
  <si>
    <t>AMS Solicitors</t>
  </si>
  <si>
    <t>AMS</t>
  </si>
  <si>
    <t xml:space="preserve">PDF in email </t>
  </si>
  <si>
    <t>Raja or Ontrack</t>
  </si>
  <si>
    <t>If Higginshaw Lane - then OL2 6HW</t>
  </si>
  <si>
    <t>Arianna Autos</t>
  </si>
  <si>
    <t>VRM ARIANNA</t>
  </si>
  <si>
    <t>Andy's Whatsapp</t>
  </si>
  <si>
    <t>Instructions in Whatsapp</t>
  </si>
  <si>
    <t>Whatsapp</t>
  </si>
  <si>
    <t>Ask Andy, mostly image based</t>
  </si>
  <si>
    <t>Auto Logistic Solutions Ltd</t>
  </si>
  <si>
    <t>ALS</t>
  </si>
  <si>
    <t>Usually say if they wat rw/unr and rep or total loss</t>
  </si>
  <si>
    <t>Image Based - Images with email or from garage</t>
  </si>
  <si>
    <t>Avisons Solicitors</t>
  </si>
  <si>
    <t>AVI</t>
  </si>
  <si>
    <t>Image based</t>
  </si>
  <si>
    <t>Info</t>
  </si>
  <si>
    <t>Usually always repairable - occasion TL have to use AX Salvage Matrix</t>
  </si>
  <si>
    <t>6/26/2025</t>
  </si>
  <si>
    <t>Always from the garage</t>
  </si>
  <si>
    <t>Baker Coleman</t>
  </si>
  <si>
    <t>BC</t>
  </si>
  <si>
    <t>Fee note needs to be separate if complete injury claims job copy in completeinjuryclaims@hotmail.com</t>
  </si>
  <si>
    <t>Baker Hardman</t>
  </si>
  <si>
    <t>BAKER</t>
  </si>
  <si>
    <t>Most jobs come through Omar</t>
  </si>
  <si>
    <t>Omar WhatsApp chat</t>
  </si>
  <si>
    <t>Storage - Berkstone Motors RG10 9UR</t>
  </si>
  <si>
    <t>Fee note separately. Send Omar a copy via Whatsapp</t>
  </si>
  <si>
    <t>BlackStone</t>
  </si>
  <si>
    <t>Instructions usually come in from Shazad</t>
  </si>
  <si>
    <t>Fee note separate return to file handler</t>
  </si>
  <si>
    <t>Castle</t>
  </si>
  <si>
    <t>CASTLE</t>
  </si>
  <si>
    <t>Always received in Whatsapp</t>
  </si>
  <si>
    <t>Castle Accident Management - Whats App</t>
  </si>
  <si>
    <t>Send back to Castle on Whats app group</t>
  </si>
  <si>
    <t>Countrywide</t>
  </si>
  <si>
    <t>CW</t>
  </si>
  <si>
    <t>Details usually in email body</t>
  </si>
  <si>
    <t>PDF in email</t>
  </si>
  <si>
    <t>Fairway Solicitors</t>
  </si>
  <si>
    <t>FW</t>
  </si>
  <si>
    <t>Sixways/Fairways WhatsApp chat or images from Solicitors (If so image based)</t>
  </si>
  <si>
    <t>Fee note does not need to be separate</t>
  </si>
  <si>
    <t>FRAZ</t>
  </si>
  <si>
    <t>Check Instructions</t>
  </si>
  <si>
    <t>On Track Whatsapp</t>
  </si>
  <si>
    <t>Britannia Street = OL1 3QR</t>
  </si>
  <si>
    <t>Graham Coffey (GGP)</t>
  </si>
  <si>
    <t>GG</t>
  </si>
  <si>
    <t>GGP</t>
  </si>
  <si>
    <t>Graham Coffey</t>
  </si>
  <si>
    <t>Direct - request images and inspection location from Client (occasionaly solicitors will send)</t>
  </si>
  <si>
    <t>Ask whoever sends images for the address if set from Solicitors are not good enough request from client</t>
  </si>
  <si>
    <t>Fee note separate</t>
  </si>
  <si>
    <t>Raja /Fraz</t>
  </si>
  <si>
    <t>Fraz - Request images from Fraz group (whats app) - most the time we have images from Fraz or Raja prior to instruction</t>
  </si>
  <si>
    <t>HTU Assessors Ltd</t>
  </si>
  <si>
    <t>HTU</t>
  </si>
  <si>
    <t>Ben</t>
  </si>
  <si>
    <t>Body of email</t>
  </si>
  <si>
    <t>Always in the email</t>
  </si>
  <si>
    <t>Address in instruction</t>
  </si>
  <si>
    <t>NETWORK HD UK / YM Law</t>
  </si>
  <si>
    <t>YML</t>
  </si>
  <si>
    <t>Kerr Brown Partnership</t>
  </si>
  <si>
    <t>In body of email</t>
  </si>
  <si>
    <t>Varies</t>
  </si>
  <si>
    <t>Varies on quality of images</t>
  </si>
  <si>
    <t xml:space="preserve">KMR </t>
  </si>
  <si>
    <t>Street Cars - usually jobs are Streetrax Ltd jobs</t>
  </si>
  <si>
    <t>Images usually with instruction</t>
  </si>
  <si>
    <t>Usually have everything with instruction - if not have KMR on whats app</t>
  </si>
  <si>
    <t>Images with email</t>
  </si>
  <si>
    <t>Send back with fee note separate</t>
  </si>
  <si>
    <t>Knightsbridge (KBS)</t>
  </si>
  <si>
    <t>Direct</t>
  </si>
  <si>
    <t>Ask client for images if struggle to get  good set can go image based</t>
  </si>
  <si>
    <t>Fee note separate - Copy in info@knightsbridgesolicitors.co.uk</t>
  </si>
  <si>
    <t>Kabir</t>
  </si>
  <si>
    <t>Kabir Jobs - whats app sometimes we already have images when instruction lands</t>
  </si>
  <si>
    <t>Expert Claims</t>
  </si>
  <si>
    <t>Expert Claims (most of the time)</t>
  </si>
  <si>
    <t xml:space="preserve">Fee note separate   </t>
  </si>
  <si>
    <t>Apex Hire</t>
  </si>
  <si>
    <t xml:space="preserve">Apex Hire - whats app sometimes we already have images when instruction lands </t>
  </si>
  <si>
    <t>25 Camelot Way Birmingham B10 OND</t>
  </si>
  <si>
    <t>LEX Solicitors</t>
  </si>
  <si>
    <t>LEX</t>
  </si>
  <si>
    <t>All jobs come from Hackney Solutions</t>
  </si>
  <si>
    <t>Hackney Solutions</t>
  </si>
  <si>
    <t>Fee note does not need to be separate but copy in credithire@hackneysolutions.co.uk</t>
  </si>
  <si>
    <t>LPS Solicitors</t>
  </si>
  <si>
    <t>LPS</t>
  </si>
  <si>
    <t>Don't do many jobs for them - jobs come via Omar</t>
  </si>
  <si>
    <t>Matt Rowland Solicitors</t>
  </si>
  <si>
    <t>MATT</t>
  </si>
  <si>
    <t>Letter of instruction by email</t>
  </si>
  <si>
    <t>Castle accident management whatsapp</t>
  </si>
  <si>
    <t>Check with Castle first if they are ok for us to disclose report before sending to solicitors. Also send fee separate</t>
  </si>
  <si>
    <t>MBH Solicitors</t>
  </si>
  <si>
    <t>MBH</t>
  </si>
  <si>
    <t>Most jobs come from Nabeel</t>
  </si>
  <si>
    <t>Nabeel- whats app group</t>
  </si>
  <si>
    <t>Fee does not need sending separately - copy in Alisonnorris@wigansolicitors.com</t>
  </si>
  <si>
    <t>Montreal Prestige</t>
  </si>
  <si>
    <t>Desk</t>
  </si>
  <si>
    <t>With instruction - if not, email them straight back.</t>
  </si>
  <si>
    <t>Inspection address listed in report</t>
  </si>
  <si>
    <t>Oakwoods Solicitors</t>
  </si>
  <si>
    <t>Paul Mandy Garages</t>
  </si>
  <si>
    <t>Request from garage if one is listed on instruction if not request from client</t>
  </si>
  <si>
    <t>Inspection address - garage address if from garage usually or ask client to confirm if they provide</t>
  </si>
  <si>
    <t>Fee note does not need to be separate - copy in p.mandy@oakwoodscotland.co.uk</t>
  </si>
  <si>
    <t>QCL (QCL)</t>
  </si>
  <si>
    <t>Fee note does not need to be separate but copy in credithire@hackneysolutions.co.uk (for Hackney jobs only direct jobs just go back to email instruction came from)</t>
  </si>
  <si>
    <t>Image based or Clients address (usually just check images)</t>
  </si>
  <si>
    <t xml:space="preserve">Fee note does not need to be separate </t>
  </si>
  <si>
    <t>Yes - Always Image-based Assessment</t>
  </si>
  <si>
    <t>Always Image-based Assessment</t>
  </si>
  <si>
    <t>Questgates or Brownsword</t>
  </si>
  <si>
    <t>N/A</t>
  </si>
  <si>
    <t>Return to file handler</t>
  </si>
  <si>
    <t>R1AM/MOTORX</t>
  </si>
  <si>
    <t>Do not message customer for images. Whatsapp R1AM/MOTORX</t>
  </si>
  <si>
    <t>R1AM- whats app group</t>
  </si>
  <si>
    <t>Regent Law  Ltd</t>
  </si>
  <si>
    <t>RL</t>
  </si>
  <si>
    <t>Usually for Bicycles - will come with phone number for storage company (I have mobile number in my phone so text Saraj - Supreme Drive 07483371748) - he will provide images and bike info</t>
  </si>
  <si>
    <t>Confirm with whoever provides images</t>
  </si>
  <si>
    <t>Relay Motor Group</t>
  </si>
  <si>
    <t>RELAY</t>
  </si>
  <si>
    <t>No instructions - Customers name and accident date</t>
  </si>
  <si>
    <t>Whatsapp Relay</t>
  </si>
  <si>
    <t>Robert James Solicitors</t>
  </si>
  <si>
    <t xml:space="preserve">Direct - request images and inspection location from Client </t>
  </si>
  <si>
    <t>If not home address ask whoever provides the images for the location</t>
  </si>
  <si>
    <t>Fee note separate - copy in engreport@robertjameslaw.co.uk</t>
  </si>
  <si>
    <t>Accident Specialist</t>
  </si>
  <si>
    <t>Accident Specialist/Jazy - check board - they will confirm if images are from client or if in storage they will send</t>
  </si>
  <si>
    <t>Fee note separate - copy in engreport@robertjameslaw.co.uk and admin@accidentspecialist.co.uk</t>
  </si>
  <si>
    <t>Claim Specialists</t>
  </si>
  <si>
    <t xml:space="preserve">Claim Specialists - images in whats app claim specialist group - most of the time will have images before the instruction - they will confirm address when images provided </t>
  </si>
  <si>
    <t>Claim Specialist HQ - Kenilworth Road Luton LU1 1DQ occasionally the storage address will be Storage Yard, 363 Dunstable Road,  LU4 8BX</t>
  </si>
  <si>
    <t>Fee note separate - copy in engreport@robertjameslaw.co.uk and also - info@claimspecialists.co.uk and accounts@carhirespec</t>
  </si>
  <si>
    <t>ROZZII/Green Destinations</t>
  </si>
  <si>
    <t>ROZZII</t>
  </si>
  <si>
    <t>Images with instruction</t>
  </si>
  <si>
    <t>With instruction</t>
  </si>
  <si>
    <t>Inspection address listed in report if ok if not image based?</t>
  </si>
  <si>
    <t>Savas &amp; Savage</t>
  </si>
  <si>
    <t>SS</t>
  </si>
  <si>
    <t>Andrew</t>
  </si>
  <si>
    <t>Instructions come via Andy</t>
  </si>
  <si>
    <t>Instruction will come from Andy usually with images sometimes we contact client</t>
  </si>
  <si>
    <t>Inspection address - if instruction from Andy he will advise if images from client we will need to ask them.</t>
  </si>
  <si>
    <t>Email back to solicitors and copy in mw@savasandsavage.co.uk</t>
  </si>
  <si>
    <t>Stallion</t>
  </si>
  <si>
    <t>STALLION</t>
  </si>
  <si>
    <t>In Whatsapp - Stallion Bodyworks</t>
  </si>
  <si>
    <t>In Stallion Whatsapp</t>
  </si>
  <si>
    <t>Address provided in Whatsapp</t>
  </si>
  <si>
    <t>Via Whatsapp - fee is paid prior to report writing</t>
  </si>
  <si>
    <t>Smart Business Link</t>
  </si>
  <si>
    <t xml:space="preserve">Info </t>
  </si>
  <si>
    <t>PDF in Email</t>
  </si>
  <si>
    <t>Swan</t>
  </si>
  <si>
    <t>Confirm with sources. Claims Specialists HQ is LU1 1BW</t>
  </si>
  <si>
    <t>Taylor Price</t>
  </si>
  <si>
    <t>TP</t>
  </si>
  <si>
    <t>Contained in email</t>
  </si>
  <si>
    <t>Ten Legal</t>
  </si>
  <si>
    <t>TEN</t>
  </si>
  <si>
    <t>Sometimes images go to Andy on Whats App - if he has no record use number in instruction to request images</t>
  </si>
  <si>
    <t>Andy whats app or client direct</t>
  </si>
  <si>
    <t>Ask whoever provides images to confirm</t>
  </si>
  <si>
    <t>Turnams</t>
  </si>
  <si>
    <t>TA</t>
  </si>
  <si>
    <t>Go direct to Andy usually image based but Andy will tell you</t>
  </si>
  <si>
    <t>Image based - images with email</t>
  </si>
  <si>
    <t>Image Based  - most of time</t>
  </si>
  <si>
    <t>Williams &amp; Co</t>
  </si>
  <si>
    <t>WIL</t>
  </si>
  <si>
    <t>Andy to Engineers</t>
  </si>
  <si>
    <t>Requested from claimant via Whatsapp</t>
  </si>
  <si>
    <t>Address</t>
  </si>
  <si>
    <t>Woodlands</t>
  </si>
  <si>
    <t>WLS</t>
  </si>
  <si>
    <t>Complete Injury Claims</t>
  </si>
  <si>
    <t>Confirm location with whoever sends images</t>
  </si>
  <si>
    <t>Fee note separate send back to handler if it is a complete injury claims job copy in completeinjuryclaims@hotmail.com</t>
  </si>
  <si>
    <t>YM Law/ NETWORK HD UK</t>
  </si>
  <si>
    <t>Zenith Lawyers</t>
  </si>
  <si>
    <t>ZEN</t>
  </si>
  <si>
    <t>Inspection address</t>
  </si>
  <si>
    <t>Storage - RH10 9NT (Priestley Way Crawley)
Office RH10 6AE
Direct - ask whoever provides images to confirm</t>
  </si>
  <si>
    <t>Image based if not residential address
Ask whoever sends images to confirm</t>
  </si>
  <si>
    <t>Send back to handler and claims@autologistic.co.uk with fee separate
Copy in Paul Mandy</t>
  </si>
  <si>
    <t>Fee note not separate - Copy in engineersreports@ax.com and p.mandy@oakwoodscotland.co.uk (except if request is Easdons and mentions Guardian or mentions James Claims)
ALSO send pages 1-4 back to garage - authority will come from AX</t>
  </si>
  <si>
    <t>Usually with instruction if not sufficient ask Ehjaz (Rapid Claims) via Whatsapp
Complete Injury Claims - Whats app group or images directly from Waseem (Complete Injury Claims)</t>
  </si>
  <si>
    <t>Clients address and if unable to get good set from solicitors or Ehjaz - go image based
Complete injury Claims - confirm address when receive images from them</t>
  </si>
  <si>
    <t>Confirm address with client/source
If Javad/Samore then 30 Brewery Street, Aston B'ham B6 4JB
"Sixways" = Somstar Recovery B5 6JX</t>
  </si>
  <si>
    <t>DFD (Richard or Joshua)
Also Car Claims</t>
  </si>
  <si>
    <t>PDF in email
If SMC, images/instruction may arrive separately.
If so, log separately and wait - don't chase for images or instructions
Car2Go - as above don't need to chase until after 7 days</t>
  </si>
  <si>
    <t>Address in Email
If images from Nabeel -  219 Slade Lane, M19 2EX</t>
  </si>
  <si>
    <t>Sixways - Most jobs come through Sixways
Veetec Motor Group - Images usually come with instruction</t>
  </si>
  <si>
    <t xml:space="preserve">Storage - Somstar Recovery and Storage B5 6JX if not in their yard ask them to confirm address
Solicitors Images - Image based </t>
  </si>
  <si>
    <t>Fee note separate and copy in ontrack789@gmail.com</t>
  </si>
  <si>
    <t>Yes - but check Inspection Type, Inspection Location, Case number, Request date</t>
  </si>
  <si>
    <t xml:space="preserve">Swade Storage - Higginshaw Lane OL2 6HW (They should tell us what storage address)
Britannia Street, Oldham, OL1 3QR </t>
  </si>
  <si>
    <t>Whatsapp Mark Wilson
Whatsapp Y M Law</t>
  </si>
  <si>
    <r>
      <rPr>
        <u/>
        <sz val="11"/>
        <color theme="1"/>
        <rFont val="Calibri"/>
        <family val="2"/>
      </rPr>
      <t>Storage</t>
    </r>
    <r>
      <rPr>
        <sz val="11"/>
        <color theme="1"/>
        <rFont val="Calibri"/>
        <family val="2"/>
      </rPr>
      <t xml:space="preserve">
HS Recovery &amp; Storage LTD William St M12 5FX most of the time but maybe Green Street Storage Yard, Burnley - just type that in
</t>
    </r>
    <r>
      <rPr>
        <u/>
        <sz val="11"/>
        <color theme="1"/>
        <rFont val="Calibri"/>
        <family val="2"/>
      </rPr>
      <t>Not in Storage</t>
    </r>
    <r>
      <rPr>
        <sz val="11"/>
        <color theme="1"/>
        <rFont val="Calibri"/>
        <family val="2"/>
      </rPr>
      <t xml:space="preserve">
Claim 3000 M12 4AH (Check if it looks like outside office)</t>
    </r>
  </si>
  <si>
    <t>Storage - Unit 3 Broughton Road East, Salford Ind Estate, M6 6AQ
16 Chorlton Street, Manchester, M1 3HW</t>
  </si>
  <si>
    <t>Expert Claims Whatsapp - if address is in stoke ask Expert claims for images first
Uttoxeter Road, Stoke on Trent, Staffordshire ST3 5LQ</t>
  </si>
  <si>
    <t>Storage - Parkers Autobodies, 4 Chapel Street, Manchester. M19 3QA or
219 Slade Lane Manchester M19 2EX</t>
  </si>
  <si>
    <t>Images should come with instruction
Instruction Date (Use date email arrived not date on instruction)
Inspection Date (Use hand written date they want report doing on which will be the most recent date - thats what date they want inspection/report completing.</t>
  </si>
  <si>
    <t>Report without images on 1 document
Images  as 1 document
Parts list as 3rd document
Copy in mdakri@montrealprestige.co.uk</t>
  </si>
  <si>
    <t>QCL/Hackney solutions
Email from vd@complexreports.com</t>
  </si>
  <si>
    <t>Value via Glass's (or Percayso if not on Glass's)
Print .PDF and attach to email
Check TL etc via EVA copy and paste</t>
  </si>
  <si>
    <t>Clients address
300 Biscot Road, Luton, LU3 1AZ  (a terraced parade of shops)
47-49 Park Street, Luton, LU1 3JX (Carpark at the back)
(Ask them if can't work it out)</t>
  </si>
  <si>
    <t>Storage - RH10 9NT (Priestley Way, Crawley)
Not in storage - ask Jazy if he has sent us the images if not ask whoever provided images (if looks like an office RH10 6AE Brighton Road)</t>
  </si>
  <si>
    <t>Claim Specialists or Accident Specialist</t>
  </si>
  <si>
    <t>Complete Injury Claims - Whats App group or direct from Waseem - complete injury claims
Direct - request direct from client if solicitors don't send images</t>
  </si>
  <si>
    <t>Whatsapp Mark Wilson or Whatsapp Y M Law</t>
  </si>
  <si>
    <t>If Mark Wilson then Swinton Recovery and Storage, Hurlbutts Drive Queensferry, Deeside CH5 1SF</t>
  </si>
  <si>
    <t>Different Principals
e.g Focus, Pebble, Swade
Client Code/Insured = Owner in full on spreadsheet/Whatsapp message</t>
  </si>
  <si>
    <t>Image Based -  images on separate email</t>
  </si>
  <si>
    <t>Direct
Email from vd@complexreports.com</t>
  </si>
  <si>
    <t>Yes - Only need to check address</t>
  </si>
  <si>
    <t>Fee note separately</t>
  </si>
  <si>
    <t>FRZ
(Search Case ID not Principal)</t>
  </si>
  <si>
    <t>Create for each</t>
  </si>
  <si>
    <t>Images location</t>
  </si>
  <si>
    <t>PDF/Word doc in email</t>
  </si>
  <si>
    <t>Not Applicable</t>
  </si>
  <si>
    <r>
      <rPr>
        <u/>
        <sz val="11"/>
        <color theme="1"/>
        <rFont val="Calibri"/>
        <family val="2"/>
      </rPr>
      <t>Rapid Claims (Huddersfield)</t>
    </r>
    <r>
      <rPr>
        <sz val="11"/>
        <color theme="1"/>
        <rFont val="Calibri"/>
        <family val="2"/>
      </rPr>
      <t xml:space="preserve">
Sometimes instructions state PHYSICAL if so need to instruct Service Certainty
</t>
    </r>
    <r>
      <rPr>
        <u/>
        <sz val="11"/>
        <color theme="1"/>
        <rFont val="Calibri"/>
        <family val="2"/>
      </rPr>
      <t>Complete Injury Claims (Wolverhampton)</t>
    </r>
  </si>
  <si>
    <t>Whats App group with Alison Law</t>
  </si>
  <si>
    <r>
      <t xml:space="preserve">SMC (they email estimate and images to engineers) Tarran way Moreton. </t>
    </r>
    <r>
      <rPr>
        <sz val="11"/>
        <color rgb="FF00A44A"/>
        <rFont val="Calibri"/>
        <family val="2"/>
      </rPr>
      <t>If quiet, copy estimate into parts tab on EVA and do click through, if not, engineers will do as normal.</t>
    </r>
    <r>
      <rPr>
        <sz val="11"/>
        <color theme="1"/>
        <rFont val="Calibri"/>
        <family val="2"/>
      </rPr>
      <t xml:space="preserve">
Nick @ Car2go (Whatsapp group for images and estimate by email - Location Car2go 220 Price street)
Car Claims - ask Andy for images
Plus any other adhoc requests - contact the client for images</t>
    </r>
  </si>
  <si>
    <t xml:space="preserve">Image-based  </t>
  </si>
  <si>
    <t>Image-based</t>
  </si>
  <si>
    <t>Image-based Assessment - Images will always come from the garage - will usually have them prior to doing report as AX want the report doing on a certain day</t>
  </si>
  <si>
    <t>Usually listed in instruction
Street Cars, 16 Chorlton Street, M1 3HW (Carpark - buildings in background - city centre)
Storage Yard - Winders Way Salford M6 6BU or
Unit 7 Sedgley Park Trading Estate, Prestwich, Manchester M25 9WD
(Should say in KMR instruction)
If images are obviously Manchester Airport, then go image based</t>
  </si>
  <si>
    <t>Sent Mino</t>
  </si>
  <si>
    <t>Foyez on WhatsApp - confirm location, may be Road Solutions Yard 2 Kiln Lane B'ham B25 8HF</t>
  </si>
  <si>
    <t>Claim Specialists - images in whats app claim specialist group - most of the time will have images before the instruction - they will confirm address when images provided</t>
  </si>
  <si>
    <t>Usually in email
If the vehicle is at Dickson St Liverpool contact Rich Morrison on Whatsapp for images</t>
  </si>
  <si>
    <t>Foyez: If through Foyez he will provide address.
Javad/Samore Cars: Also sends direct jobs.
Client: Contact direct
Solicitors: Provide images with instruction - ask for location</t>
  </si>
  <si>
    <t>Garage</t>
  </si>
  <si>
    <t>Email</t>
  </si>
  <si>
    <t>Phone</t>
  </si>
  <si>
    <t>Figures</t>
  </si>
  <si>
    <t>Balmoral Auto Repairs</t>
  </si>
  <si>
    <t>BN1 Body Repairs</t>
  </si>
  <si>
    <t>CD Body Repairs</t>
  </si>
  <si>
    <t>Clydeside ARC</t>
  </si>
  <si>
    <t>Colvin SPS Ltd</t>
  </si>
  <si>
    <t>CS Auto Repair</t>
  </si>
  <si>
    <t>Easdons Bodyshop</t>
  </si>
  <si>
    <t>G &amp; B Accident Repair Centre Ltd (Cheryl)</t>
  </si>
  <si>
    <t>G M Bodyshop</t>
  </si>
  <si>
    <t>Gibbys Spraying Services</t>
  </si>
  <si>
    <t>Glasgow Smart Repair</t>
  </si>
  <si>
    <t>Hatties Auto Body Repairs</t>
  </si>
  <si>
    <t>John Gemmell Coachworks</t>
  </si>
  <si>
    <t>Kitchener Cars &amp; Coachworks Ltd</t>
  </si>
  <si>
    <t>Knox Brothers</t>
  </si>
  <si>
    <t>Level Up Autobody</t>
  </si>
  <si>
    <t>LPB Body Repairs</t>
  </si>
  <si>
    <t>Mega Crash Repairs</t>
  </si>
  <si>
    <t>MFS Design</t>
  </si>
  <si>
    <t>RSC Bodycentre</t>
  </si>
  <si>
    <t>Scott Gibson</t>
  </si>
  <si>
    <t>Southern Spray Centre</t>
  </si>
  <si>
    <t>The Claims Team (Uzi)</t>
  </si>
  <si>
    <t>Well Street Customs</t>
  </si>
  <si>
    <t>Autospray Car Body Repair Services (Hasan)</t>
  </si>
  <si>
    <t>Ultimate Car Body Repair LTD</t>
  </si>
  <si>
    <t>RTA Storage &amp; Recovery</t>
  </si>
  <si>
    <t>42 Lockerbie Road, Dumfries, DG1 3AX</t>
  </si>
  <si>
    <t>1A Dover Road, Brighton, BN1 6LP</t>
  </si>
  <si>
    <t>35B Cavendish Way, Glenrothes, KY6 2SB</t>
  </si>
  <si>
    <t>Unit 31, Halley Street, Glasgow, G13 4DT</t>
  </si>
  <si>
    <t>6-8 Standalane, Stewarton, KA3 5BG</t>
  </si>
  <si>
    <t>42-44 E Hamilton Street, Greenock, PA15 2TQ</t>
  </si>
  <si>
    <t>Unit 1, 60 Well Street, Paisley, PA1 2QE</t>
  </si>
  <si>
    <t>42 Loanbank Quadrant, Glasgow, G51 3HZ</t>
  </si>
  <si>
    <t>18 Dellingburn Street, Greenock, PA15 4TW</t>
  </si>
  <si>
    <t>11 Main Street, Harthill,Shotts, Lanarkshire, ML7 5QW</t>
  </si>
  <si>
    <t>13 Kelvin Avenue, Hillington Park, G52 4LT</t>
  </si>
  <si>
    <t>2 Nisbett Street, Chapelhall, Airdrie, ML6 8RJ</t>
  </si>
  <si>
    <t>4 Market Place, Auchinleck, KA18 2BH</t>
  </si>
  <si>
    <t>31/33 Kitchener Street, Wishaw, Lanarkshire, ML2 7JQ</t>
  </si>
  <si>
    <t>35-39 Tennant Avenue, East Kilbride, Glasgow, G74 5NA</t>
  </si>
  <si>
    <t>Unit 4, Block 1, Whiteside Industrial Estate. Bathgate. EH48 2RX</t>
  </si>
  <si>
    <t>2 Apsley Lane, Glasgow, G11 7SU</t>
  </si>
  <si>
    <t>Unit 14, Chingford Industrial Estate, Hall Lane, London, E4 8DJ</t>
  </si>
  <si>
    <t>7 Bourtree Terrace, Hawick, TD9 9HN</t>
  </si>
  <si>
    <t>Tern Valley Business Park, Units 27-31 Market Drayton, TF9 3AG</t>
  </si>
  <si>
    <t>Unit 12 Smeaton Industrial Estate, Hayfield Road, Kirkcaldy, Fife, KY1 2HE</t>
  </si>
  <si>
    <t>19 Limberline Spur, Hilsea, Portsmouth, PO3 5DY</t>
  </si>
  <si>
    <t>Unit 3, 53 Kilbirnie Street, Glasgow, G5 8JD</t>
  </si>
  <si>
    <t>60 Well Street, Paisley, PA1 2QH</t>
  </si>
  <si>
    <t>Unit 75 Bunting Road, Northampton, NN2 6EE</t>
  </si>
  <si>
    <t>184 Clydesdale St, New Stevenston, Bellshill ML4 2RS</t>
  </si>
  <si>
    <t>365 Aikenhead Road. Glasgow G42 OGG</t>
  </si>
  <si>
    <t>stuart@balmoralautos.com</t>
  </si>
  <si>
    <t>bn1bodyrepairs@outlook.com</t>
  </si>
  <si>
    <t>cdbodyrepair@hotmail.com</t>
  </si>
  <si>
    <t>colvinsbodysop@aol.com</t>
  </si>
  <si>
    <t>csgarage365@gmail.com</t>
  </si>
  <si>
    <t>easdonsbodyrepairs1@gmail.com</t>
  </si>
  <si>
    <t>contact@gandb.scot</t>
  </si>
  <si>
    <t>gordon@gmbodyshop.co.uk</t>
  </si>
  <si>
    <t>gibbys_spraying_services@yahoo.com</t>
  </si>
  <si>
    <t>info@glasgowsmartrepaircentreltd.co.uk</t>
  </si>
  <si>
    <t>office@hattiesautobody.com</t>
  </si>
  <si>
    <t>jgcoachworks@tiscali.co.uk</t>
  </si>
  <si>
    <t>robins911@yahoo.co.uk</t>
  </si>
  <si>
    <t>lpbcarrepairs@gmail.com</t>
  </si>
  <si>
    <t>megacrashrepairs@btconnect.com</t>
  </si>
  <si>
    <t>info@rscbodycentre.co.uk</t>
  </si>
  <si>
    <t>scottgibsonbodyshop@outlook.com</t>
  </si>
  <si>
    <t>info@southernspraycentre.co.uk</t>
  </si>
  <si>
    <t>07469936669 (Craig)</t>
  </si>
  <si>
    <t>07971056429 (John)</t>
  </si>
  <si>
    <t>07507156537 (James)</t>
  </si>
  <si>
    <t>07875420289 (Gordon)</t>
  </si>
  <si>
    <t>07973791343 (Stephen)</t>
  </si>
  <si>
    <t>07824875650 (Pat)</t>
  </si>
  <si>
    <t>07768280026 (John)</t>
  </si>
  <si>
    <t>07798703127 (Robin)</t>
  </si>
  <si>
    <t>07391608547 (Lloyd)</t>
  </si>
  <si>
    <t>07926756694 (Michael)</t>
  </si>
  <si>
    <t>07772316093 (Jess)</t>
  </si>
  <si>
    <t>07974373610 (Scott)</t>
  </si>
  <si>
    <t>07870396947 (Jeff)</t>
  </si>
  <si>
    <t>07359204512 (Uzi)</t>
  </si>
  <si>
    <t>07872009591</t>
  </si>
  <si>
    <t>07930536822</t>
  </si>
  <si>
    <t>07375648880</t>
  </si>
  <si>
    <t>07818026955</t>
  </si>
  <si>
    <t>07760174221</t>
  </si>
  <si>
    <t>07720315785</t>
  </si>
  <si>
    <t>07716009445</t>
  </si>
  <si>
    <t>07564090038</t>
  </si>
  <si>
    <t>02085245007</t>
  </si>
  <si>
    <t>07724541096</t>
  </si>
  <si>
    <t>07495172001</t>
  </si>
  <si>
    <t>01413282616</t>
  </si>
  <si>
    <t>01387253433</t>
  </si>
  <si>
    <t>Yes</t>
  </si>
  <si>
    <t>No - they send estimate we then do our figures</t>
  </si>
  <si>
    <t>Direct - usually attached to email if need to chase we have a group on whats app - QC Law VD</t>
  </si>
  <si>
    <t>Assured Accident Repair Centre</t>
  </si>
  <si>
    <t>Hollandhurst Body Repair Ltd</t>
  </si>
  <si>
    <t>Westfoot Ltd T/A CB Cars</t>
  </si>
  <si>
    <t>McShanes Car Body Repair</t>
  </si>
  <si>
    <t>Prestige &amp; Performance</t>
  </si>
  <si>
    <t>J Mullen Specialist Coachworks</t>
  </si>
  <si>
    <t>Pro Paint</t>
  </si>
  <si>
    <t>Undentit Ltd</t>
  </si>
  <si>
    <t>Leven Coachworks</t>
  </si>
  <si>
    <t>M A Bodyshop</t>
  </si>
  <si>
    <t>Bothwell ARC</t>
  </si>
  <si>
    <t>4 Dunnswood Road, Cumbernauld, Wardpark South, Glasgow, G67 3EN</t>
  </si>
  <si>
    <t>2 Hollandhurst Road, Coatbridge, ML5 2EG</t>
  </si>
  <si>
    <t>15 S Elgin Street, Clydebank, G81 1PL</t>
  </si>
  <si>
    <t>Unit 13A, Newbattle Abbey Business Park, Newbattle Road, Dalkeit, EH22 3LL</t>
  </si>
  <si>
    <t>Unit 1, Camps Industrial Estate, Kirknewton, EH27 8DF</t>
  </si>
  <si>
    <t>46 The Harbour, Port Seton, Prestonpans. EH32 0DS</t>
  </si>
  <si>
    <t>Block 4, Chapelhall Industrial Estate, Chapelhall, Airdie, ML6 8QH</t>
  </si>
  <si>
    <t>15-17 Scotland Street Glasgow, G5 8NB</t>
  </si>
  <si>
    <t>Banbeath Industrial Estate, Leven, KY8 5HD</t>
  </si>
  <si>
    <t>Millie Street, Kirkcaldy, Fife. KY1 2NL</t>
  </si>
  <si>
    <t>69 Bothwell Road, Hamilton, ML3 0DW</t>
  </si>
  <si>
    <t>richarddevine1@hotmail.com</t>
  </si>
  <si>
    <t>markmcshane1@hotmail.com</t>
  </si>
  <si>
    <t>jmullenspeciaistcoachworks@outlook.com</t>
  </si>
  <si>
    <t>info@propaintarc.com</t>
  </si>
  <si>
    <t>undentit@yahoo.com</t>
  </si>
  <si>
    <t>07866575380 (Richard)</t>
  </si>
  <si>
    <t>07712180259 (Mark)</t>
  </si>
  <si>
    <t>07801299045 (Sharelle)</t>
  </si>
  <si>
    <t>07402749141 (Kevin)</t>
  </si>
  <si>
    <t>07563573149 (Kevin)</t>
  </si>
  <si>
    <t>0750537858 (Stevie)</t>
  </si>
  <si>
    <t>07803748663</t>
  </si>
  <si>
    <t>07706175089</t>
  </si>
  <si>
    <t>07925721388</t>
  </si>
  <si>
    <t>07879840625</t>
  </si>
  <si>
    <t>07742421642 (Amy)
07831496178 (Allan)</t>
  </si>
  <si>
    <t>Images</t>
  </si>
  <si>
    <t>Normally Audatex?
If the instruction mentions "C.A.R.S" then it's Paul Mandy's job, in which case we need to reach out to the garage for images/estimate</t>
  </si>
  <si>
    <t>Instruction</t>
  </si>
  <si>
    <t>Instructions</t>
  </si>
  <si>
    <t>MW10 NYC</t>
  </si>
  <si>
    <t>Vauxhall Corsa</t>
  </si>
  <si>
    <t>Z:\MW10 NYC</t>
  </si>
  <si>
    <t>YG75 BNB</t>
  </si>
  <si>
    <t>Shakib Ali</t>
  </si>
  <si>
    <t>Images/instruction</t>
  </si>
  <si>
    <t>LG63WPV</t>
  </si>
  <si>
    <t>Mercedes Vito</t>
  </si>
  <si>
    <t>Z:\LG63WPV</t>
  </si>
  <si>
    <t>YE12SSU</t>
  </si>
  <si>
    <t xml:space="preserve">Mathew Olusegun Adekoya                            </t>
  </si>
  <si>
    <t>Peugeot 207</t>
  </si>
  <si>
    <t>SE24NFL</t>
  </si>
  <si>
    <t>Liam McElwee</t>
  </si>
  <si>
    <t xml:space="preserve">BMW 3 series </t>
  </si>
  <si>
    <t xml:space="preserve">Instruction </t>
  </si>
  <si>
    <t>07/04/2026 - on audatex. 119,424 miles</t>
  </si>
  <si>
    <t>RY08 OYD</t>
  </si>
  <si>
    <t>SH18 VMO</t>
  </si>
  <si>
    <t>Vauxhall Zafira</t>
  </si>
  <si>
    <t>Z:\SH18 VMO</t>
  </si>
  <si>
    <t>25/03/2026 - Instruction to come from RJS and car in storage with Accident Specialist
07/04/2026 - Asked ACSP to confirm the reg</t>
  </si>
  <si>
    <t>26/03/2026 -   Images at M12 4AH
08/04/2026 - Chased Hackney for instructions</t>
  </si>
  <si>
    <t>AV17 LYN</t>
  </si>
  <si>
    <t>Riccardo Joubert</t>
  </si>
  <si>
    <t>Volkswagen Golf</t>
  </si>
  <si>
    <t>20/03/2026 - Estimate on Audatex - Mileage - 15,199
10/04/2026 - Advised garage no instruction yet and asked if still going ahead</t>
  </si>
  <si>
    <t xml:space="preserve"> </t>
  </si>
  <si>
    <t>Toyota Auris</t>
  </si>
  <si>
    <t>OV72 AHK</t>
  </si>
  <si>
    <t>Mercedes CLA</t>
  </si>
  <si>
    <t>Z:\OV72 AHK</t>
  </si>
  <si>
    <t>SW15 HPJ</t>
  </si>
  <si>
    <t>Jade Young</t>
  </si>
  <si>
    <t>Volkswagen Caddy</t>
  </si>
  <si>
    <r>
      <rPr>
        <u/>
        <sz val="11"/>
        <color theme="1"/>
        <rFont val="Calibri"/>
        <family val="2"/>
      </rPr>
      <t>Storage</t>
    </r>
    <r>
      <rPr>
        <sz val="11"/>
        <color theme="1"/>
        <rFont val="Calibri"/>
        <family val="2"/>
      </rPr>
      <t xml:space="preserve">
HS Recovery &amp; Storage LTD William St M12 5FX most of the time but maybe in another place that looks dodgier Green Street Storage Yard, Burnley, BB111RU
</t>
    </r>
    <r>
      <rPr>
        <u/>
        <sz val="11"/>
        <color theme="1"/>
        <rFont val="Calibri"/>
        <family val="2"/>
      </rPr>
      <t>Not in Storage</t>
    </r>
    <r>
      <rPr>
        <sz val="11"/>
        <color theme="1"/>
        <rFont val="Calibri"/>
        <family val="2"/>
      </rPr>
      <t xml:space="preserve">
Claim 3000 Cariocca Business Park, Hellidon Close, Manchester. M12 4AH (Check if it looks like outside office)</t>
    </r>
  </si>
  <si>
    <t>Y22 EMD</t>
  </si>
  <si>
    <t>Mrs Ellie Davidson</t>
  </si>
  <si>
    <t>Ford Fiesta Zetec</t>
  </si>
  <si>
    <t>Toyota Avensis</t>
  </si>
  <si>
    <t>MJ56HVV</t>
  </si>
  <si>
    <t>Renault Trafic</t>
  </si>
  <si>
    <t>20/04/2026 - on audatex 149718</t>
  </si>
  <si>
    <t>Estimate/images</t>
  </si>
  <si>
    <t>YE18 LJB</t>
  </si>
  <si>
    <t>Z:\YE18 LJB</t>
  </si>
  <si>
    <t>21/04/2026 - Images at M12 5FX</t>
  </si>
  <si>
    <t>BMW 2 Series</t>
  </si>
  <si>
    <t>16/04/2026 - Instruction received from SBL
22/04/2026 - Advised SBL still not received estimate / images</t>
  </si>
  <si>
    <t>Ford Fiesta</t>
  </si>
  <si>
    <t>Hyundai Ioniq</t>
  </si>
  <si>
    <t>14/04/2026 - Sent Myles Coachworks a message requesting estimate and images
22/04/2026 - Garage believe not going ahead asked Qdos to confirm</t>
  </si>
  <si>
    <t>08/04/2026 - Sent AVIT a message requesting images
17/04/2026 - Sent AVIT a message chasing images
22/04/2026 - Chased garage for images</t>
  </si>
  <si>
    <t>YG18 HEH</t>
  </si>
  <si>
    <t>Mary Hignett</t>
  </si>
  <si>
    <t>22/04/2026 - Instruction received from SBL</t>
  </si>
  <si>
    <t>Seat Leon</t>
  </si>
  <si>
    <t>GV10HMJ</t>
  </si>
  <si>
    <t>Zara Latif</t>
  </si>
  <si>
    <t>Toyota</t>
  </si>
  <si>
    <t>LP19 CNO</t>
  </si>
  <si>
    <t>Hassan Shah</t>
  </si>
  <si>
    <t>Mercedes A200</t>
  </si>
  <si>
    <t>Audatex</t>
  </si>
  <si>
    <t>07/04/2026 - Image based - awaiting instructions
13/04/2026 - Sent Sixways a message chasing 
23/04/2026 - Advised Sixways still no instructions an asked if going ahead</t>
  </si>
  <si>
    <t>01/04/2026 - Email from Vehicle resolutions in Desk with images - a/w instruction
23/04/2026 - Advised John - no instructions yet</t>
  </si>
  <si>
    <t>31/03/2026 - Whatsapp to sixways for images
07/04/2026 - Chased Sixways for images - FW have also chased
13/04/2026 - Sent Sixways a message chasing images
23/04/2026 - Chased Sixways for images</t>
  </si>
  <si>
    <t>FD65OAA</t>
  </si>
  <si>
    <t>Shakir Ahmed</t>
  </si>
  <si>
    <t>23/04/2026 - whatsapp to swinton recovery for images</t>
  </si>
  <si>
    <t>Mercedes A180</t>
  </si>
  <si>
    <t>Mazda 6</t>
  </si>
  <si>
    <t>P11SHT</t>
  </si>
  <si>
    <t>Amani Sarwar</t>
  </si>
  <si>
    <t>24/04/2026 - whatsapp to Glasgow Smart Repair for images</t>
  </si>
  <si>
    <t>02/02/2026 - Images at M12 4AH
09/02/2026 - Chased QCL for instruction
16/02/2026 - Advised QCL we have about 15 instructions outstanding
23/02/2026 - Chased QCL for instruction
02/03/2026 - Chased QCL for instruction
09/03/2026 - Provided Hackney Solutions with an updated list of outstanding instructions
16/03/2026 - Advised Hackney no instructions yet
23/03/2026 - Advised Hackney still chasing instructions
01/04/2026 - Sent a message to see if someone at Hackney could look into the older cases
08/04/2026 - Chased Hackney for instructions
24/04/2026 - Chased QCL for instructions</t>
  </si>
  <si>
    <t>14/04/2026 - Images at M12 4AH
24/04/2026 - Chased QCL for instructions</t>
  </si>
  <si>
    <t>BO55 HPT</t>
  </si>
  <si>
    <t>Man TGX</t>
  </si>
  <si>
    <t>SN66TZD</t>
  </si>
  <si>
    <t>Agnieszka Phillipson</t>
  </si>
  <si>
    <t>Dacia Sandero</t>
  </si>
  <si>
    <t>HX21 RMV</t>
  </si>
  <si>
    <t>Ivo Petrov</t>
  </si>
  <si>
    <t>Ford Transit</t>
  </si>
  <si>
    <t>24/04/2026 - A/w audatex from PPS Autocare Ltd</t>
  </si>
  <si>
    <t>GW11 OWX</t>
  </si>
  <si>
    <t>Willow Gait</t>
  </si>
  <si>
    <t>24/04/2026 - A/w audatex from Bumps Accident Repair Centre</t>
  </si>
  <si>
    <t>YA67 PLF</t>
  </si>
  <si>
    <t>27/04/2026 - Images at M12 5FX - Waiting Instructions</t>
  </si>
  <si>
    <t>Z:\YA67 PLF</t>
  </si>
  <si>
    <t>ML23 KTC</t>
  </si>
  <si>
    <t>Toyota Corolla</t>
  </si>
  <si>
    <t>Z:\ML23 KTC</t>
  </si>
  <si>
    <t>EA21 OHB</t>
  </si>
  <si>
    <t>24/04/2026 - email to Thomas Ash for images
27/04/2026 - Thomas Ash don’t have car in storage / sent tractable</t>
  </si>
  <si>
    <t>Z:\EA21 OHB</t>
  </si>
  <si>
    <t>23/04/2026 - Whatsapp to expert claims for images
23/04/2026 - Tractable to client
27/04/2026 - Sent whats app to client chasing images</t>
  </si>
  <si>
    <t>Micheal</t>
  </si>
  <si>
    <t>Premier 1</t>
  </si>
  <si>
    <t>Richard</t>
  </si>
  <si>
    <t>Assured ARC</t>
  </si>
  <si>
    <t>SV57 UXW</t>
  </si>
  <si>
    <t>Nicola Marsh</t>
  </si>
  <si>
    <t>Suzuki SX4</t>
  </si>
  <si>
    <t>SB73DXA</t>
  </si>
  <si>
    <t>Enrico Caira</t>
  </si>
  <si>
    <t>TESLA MODEL Y</t>
  </si>
  <si>
    <t>S44HDG</t>
  </si>
  <si>
    <t>Maryum Sheikh</t>
  </si>
  <si>
    <t>BMW 335D</t>
  </si>
  <si>
    <t>YP16 FHA</t>
  </si>
  <si>
    <t>Lexus</t>
  </si>
  <si>
    <t>Z:\YP16 FHA</t>
  </si>
  <si>
    <t>27/04/2026 - Images at M12 5FX</t>
  </si>
  <si>
    <t>B18 LYP</t>
  </si>
  <si>
    <t>Audi A1</t>
  </si>
  <si>
    <t>27/04/2026 - Image based - Keep Repairable</t>
  </si>
  <si>
    <t>Z:\B18 LYP</t>
  </si>
  <si>
    <t>Bailey Park</t>
  </si>
  <si>
    <t>X5 JEY</t>
  </si>
  <si>
    <t xml:space="preserve">Pratheep Sinnarajah </t>
  </si>
  <si>
    <t>BMW X5</t>
  </si>
  <si>
    <t>KO18 OPT</t>
  </si>
  <si>
    <t>Audi S5</t>
  </si>
  <si>
    <t>SA62JWW</t>
  </si>
  <si>
    <t xml:space="preserve">Abdulqani Hassan Mohamed                                      </t>
  </si>
  <si>
    <t>Honda Jazz</t>
  </si>
  <si>
    <t>27/04/2026 - Whatsapp to sixways for images</t>
  </si>
  <si>
    <t>OY74 FWV</t>
  </si>
  <si>
    <t xml:space="preserve">Daniel Chetnik </t>
  </si>
  <si>
    <t>Hyundai Ioniq 5</t>
  </si>
  <si>
    <t>Estimate/Images</t>
  </si>
  <si>
    <t>27/04/2026 - Instruction received from SBL</t>
  </si>
  <si>
    <t>G5UJU</t>
  </si>
  <si>
    <t>M A Raza</t>
  </si>
  <si>
    <t>Ghulam Asghar</t>
  </si>
  <si>
    <t>27/04/2026 - Image based - images in info</t>
  </si>
  <si>
    <t>27/04/2026 - Email to BC for images or contact number for client to send tractable</t>
  </si>
  <si>
    <t>DY72 YRO</t>
  </si>
  <si>
    <t>Afaf Sabil</t>
  </si>
  <si>
    <t>Hyundai Santa Fe</t>
  </si>
  <si>
    <t>SM68YMA</t>
  </si>
  <si>
    <t>Paul Donnison</t>
  </si>
  <si>
    <t>FIAT DOBLO</t>
  </si>
  <si>
    <t>28/04/2026 - Messaged Leven Coachworks for estimate/images</t>
  </si>
  <si>
    <t>27/04/2026 -Asked Qdos for images, responded clint on holiday until 16/05</t>
  </si>
  <si>
    <t>27/04/2026 - Fairway asked Sixways to send us images / whatsapp to sixways for images</t>
  </si>
  <si>
    <t>LL61FZF</t>
  </si>
  <si>
    <t>Farkh Jaweed</t>
  </si>
  <si>
    <t>FD73ABK</t>
  </si>
  <si>
    <t>Greens Retail LTD</t>
  </si>
  <si>
    <t>AUDI A4</t>
  </si>
  <si>
    <t>28/04/2026 - Messaged Glasgow Smart Repair for estimate/images</t>
  </si>
  <si>
    <t>HG21URZ</t>
  </si>
  <si>
    <t>Tooran Hejazi Yousefi</t>
  </si>
  <si>
    <t>BMW M3</t>
  </si>
  <si>
    <t>28/04/2026 - Images with instruction</t>
  </si>
  <si>
    <t>28/04/2026 - Messaged Undentit for estimate and images</t>
  </si>
  <si>
    <t>Z:\HG21URZ</t>
  </si>
  <si>
    <t>28/04/2026 - Tractable to client</t>
  </si>
  <si>
    <t>WL08KCO</t>
  </si>
  <si>
    <t>Carol Quinn</t>
  </si>
  <si>
    <t>YR15 NKA</t>
  </si>
  <si>
    <t>28/04/2026 - Images from RTA Recovery &amp; Storage - waiting instructions</t>
  </si>
  <si>
    <t>Z:\YR15 NKA</t>
  </si>
  <si>
    <t>28/04/2026 - Whatsapp to MADD Recovery for images</t>
  </si>
  <si>
    <t>FL68 DXT</t>
  </si>
  <si>
    <t>Charles Devlin</t>
  </si>
  <si>
    <t>Vauxhall Grandland</t>
  </si>
  <si>
    <t>28/04/2026 - Images from John Gemmell - waiting instructions</t>
  </si>
  <si>
    <t>Z:\FL68 DXT</t>
  </si>
  <si>
    <t>VX71 YDO</t>
  </si>
  <si>
    <t>Yoni Sherer</t>
  </si>
  <si>
    <t>Audi A5</t>
  </si>
  <si>
    <t>28/04/2026 - Instruction received from SBL</t>
  </si>
  <si>
    <t>28/04/2026 - Whatsapp to Expert Claims for images</t>
  </si>
  <si>
    <t>AY20WLP</t>
  </si>
  <si>
    <t>Khalid Hammed</t>
  </si>
  <si>
    <t>VE65OBA</t>
  </si>
  <si>
    <t>Amar Yaqub</t>
  </si>
  <si>
    <t>BX67 RZU</t>
  </si>
  <si>
    <t>Toyota Voxy</t>
  </si>
  <si>
    <t>28/04/2026 - Images from Samore - waiting instructions</t>
  </si>
  <si>
    <t>Z:\BX67 RZU</t>
  </si>
  <si>
    <t>24/04/2026 - Sent Genesis a message requesting images
28/04/2026 - Chased Genesis for images</t>
  </si>
  <si>
    <t>GY04 GXT</t>
  </si>
  <si>
    <t>Toyota Yaris</t>
  </si>
  <si>
    <t>28/04/2026 - Images at M12 4AH - waiting instructions - mileage 126,700</t>
  </si>
  <si>
    <t>Z:\GY04 GXT</t>
  </si>
  <si>
    <t>AJ17 FNL</t>
  </si>
  <si>
    <t>Arabella Christie</t>
  </si>
  <si>
    <t>Peugeot 308</t>
  </si>
  <si>
    <t>SK17OKA</t>
  </si>
  <si>
    <t>Qayum Hussain</t>
  </si>
  <si>
    <t>YF18OGX</t>
  </si>
  <si>
    <t>Aden Hussein</t>
  </si>
  <si>
    <t>PO70 BZX</t>
  </si>
  <si>
    <t>28/04/2026 - Whatsapp to Hackney for images</t>
  </si>
  <si>
    <t>23/04/2026 - A/w Audatex from Middlemore Coachworks
28/04/2026 - Advised SBL we are still waiting for estimate and images - should be with us by end of week</t>
  </si>
  <si>
    <t>SN16 FKB</t>
  </si>
  <si>
    <t>28/04/2026 - Images at M12 5FX</t>
  </si>
  <si>
    <t>NX12 XYD</t>
  </si>
  <si>
    <t>Andrew Swales</t>
  </si>
  <si>
    <t>Peugeot RCZ</t>
  </si>
  <si>
    <t>Z:\SM68YMA</t>
  </si>
  <si>
    <t>L777 GUR</t>
  </si>
  <si>
    <t>Jacklyn Gurney</t>
  </si>
  <si>
    <t>AUDI A1</t>
  </si>
  <si>
    <t>LX19EVW</t>
  </si>
  <si>
    <t>Asad Ishaq</t>
  </si>
  <si>
    <t>29/04/2026 - Whatsapp to sixways for images</t>
  </si>
  <si>
    <t>DV14 YCK</t>
  </si>
  <si>
    <t>29/04/2026 - Images from Omalley Recovery - waiting instructions</t>
  </si>
  <si>
    <t>Z:\DV14 YCK</t>
  </si>
  <si>
    <t>MO51 NUK</t>
  </si>
  <si>
    <t>Z:\MO51 NUK</t>
  </si>
  <si>
    <t>29/04/2026 - On Audatex - 84,504</t>
  </si>
  <si>
    <t>OAK/AX</t>
  </si>
  <si>
    <t>29/04/2026 - On Audatex - 103,008 - AX instruction received 29/04/2026</t>
  </si>
  <si>
    <t>SA74RTV</t>
  </si>
  <si>
    <t>GTJ Logistics</t>
  </si>
  <si>
    <t>RENAULT TRAFIC</t>
  </si>
  <si>
    <t>PX66TDZ</t>
  </si>
  <si>
    <t>Alfie Box</t>
  </si>
  <si>
    <t>SEAT IBIZA</t>
  </si>
  <si>
    <t>29/04/2026 - Messaged The Coachworks for estimate/images</t>
  </si>
  <si>
    <t>28/04/2026 - Advised GA Mann max repair costs £16,100 - mileage is 50,728 - no images or instruction yet - ESTIMATE NOW ON AUDATEX - WAITING INSTRUCTION</t>
  </si>
  <si>
    <t>27/04/2026 - On Audatex - 137,537 - BEN TO DO</t>
  </si>
  <si>
    <t>NA18RAZ</t>
  </si>
  <si>
    <t>Naim Razzaq</t>
  </si>
  <si>
    <t>TOYOTA RAV4</t>
  </si>
  <si>
    <t>29/04/2026 - Messaged Propaint for estimate/images</t>
  </si>
  <si>
    <t>KE54DYS</t>
  </si>
  <si>
    <t>Lee Kennedy</t>
  </si>
  <si>
    <t>EY69 PYO</t>
  </si>
  <si>
    <t>29/04/2026 - Waiting for garage response</t>
  </si>
  <si>
    <t>29/04/2026 - Whatsapp to KA recovery for images</t>
  </si>
  <si>
    <t>KR16 SVS</t>
  </si>
  <si>
    <t>29/04/2026 - Images at B9 4QB - waiting instructions</t>
  </si>
  <si>
    <t>Z:\KR16 SVS</t>
  </si>
  <si>
    <t>SP66 KCU</t>
  </si>
  <si>
    <t>Mercedes</t>
  </si>
  <si>
    <t>Z:\SP66 KCU</t>
  </si>
  <si>
    <t>29/04/2026 - Images from Bish - waiting instructions - Roadworthy / Repair</t>
  </si>
  <si>
    <t>29/04/2026 - Images at Rapid Claims Bureau</t>
  </si>
  <si>
    <t>Z:\AY20WLP</t>
  </si>
  <si>
    <t>27/04/2026 - Audatex has been paid for to be done</t>
  </si>
  <si>
    <t>Z:\SB73DXA</t>
  </si>
  <si>
    <t>V26LCY</t>
  </si>
  <si>
    <t>Lucy Vaughan</t>
  </si>
  <si>
    <t>NISSAN NAVARA</t>
  </si>
  <si>
    <t>29/04/2026 - Messaged ProPaint for estimate/images</t>
  </si>
  <si>
    <t>Z:\LL61FZF</t>
  </si>
  <si>
    <t>Z:\KE54DYS</t>
  </si>
  <si>
    <t>YC15 RBV</t>
  </si>
  <si>
    <t>29/04/2026 - Waiting Instructions - Images in Kabir chat</t>
  </si>
  <si>
    <t>Z:\YC15 RBV</t>
  </si>
  <si>
    <t>29/04/2026 - Images from Navigate Motors - waiting instructions - SEE VOICE NOTE and images they want to use</t>
  </si>
  <si>
    <t>AV59DXR</t>
  </si>
  <si>
    <t>Bilal Ali</t>
  </si>
  <si>
    <t>EN16XLM</t>
  </si>
  <si>
    <t>Iman Mohammad</t>
  </si>
  <si>
    <t>Mercedes Benz</t>
  </si>
  <si>
    <t>29/04/2026 - Whatsapp to expert claims for images</t>
  </si>
  <si>
    <t>29/04/2026 - Messaged Richard for estimate/images
29/04/2026 - Richard emailed - he doesn’t have images yet</t>
  </si>
  <si>
    <t>FJ64OCU</t>
  </si>
  <si>
    <t>WOODLANDS</t>
  </si>
  <si>
    <t>Tasbeer Hussain</t>
  </si>
  <si>
    <t>29/04/2026- Images with instruction - location in INSTRUCTION EMAIL</t>
  </si>
  <si>
    <t>PV19UNK</t>
  </si>
  <si>
    <t>Mohammed Asid</t>
  </si>
  <si>
    <t>29/04/2026 - Images with instruction - location in instruction email</t>
  </si>
  <si>
    <t>CX15 LKK</t>
  </si>
  <si>
    <t>Arshad Bibi</t>
  </si>
  <si>
    <t>Volkswagen</t>
  </si>
  <si>
    <t>Z:\CX15 LKK</t>
  </si>
  <si>
    <t>29/04/2026 - Awaiting Auda (CARS case) from Motherwll Accident Repair NOT READY YET - CHECK WITH FEE</t>
  </si>
  <si>
    <t>29/04/2026 - Clients address?</t>
  </si>
  <si>
    <t>Z:\AV59DXR</t>
  </si>
  <si>
    <t>YS19 OUA</t>
  </si>
  <si>
    <t>Ford</t>
  </si>
  <si>
    <t>29/04/2026 - Images at Car 2 Go - CR figure provided in chats</t>
  </si>
  <si>
    <t>Z:\YS19 OUA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</si>
</sst>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809]d\ mmmm\ yyyy;@"/>
  </numFmts>
  <fonts count="45" x14ac:knownFonts="1">
    <font>
      <sz val="10"/>
      <color theme="1"/>
      <name val="Arial"/>
      <family val="2"/>
    </font>
    <font>
      <sz val="11"/>
      <color theme="1"/>
      <name val="Aptos Narrow"/>
      <family val="2"/>
      <scheme val="minor"/>
    </font>
    <font>
      <u/>
      <sz val="10"/>
      <color theme="10"/>
      <name val="Arial"/>
      <family val="2"/>
    </font>
    <font>
      <sz val="11"/>
      <color rgb="FF242424"/>
      <name val="Calibri"/>
      <family val="2"/>
    </font>
    <font>
      <sz val="11"/>
      <color rgb="FF000000"/>
      <name val="Calibri"/>
      <family val="2"/>
    </font>
    <font>
      <u/>
      <sz val="11"/>
      <color theme="10"/>
      <name val="Aptos Narrow"/>
      <family val="2"/>
      <scheme val="minor"/>
    </font>
    <font>
      <b/>
      <sz val="10"/>
      <color theme="0"/>
      <name val="Arial"/>
      <family val="2"/>
    </font>
    <font>
      <sz val="11"/>
      <color theme="1"/>
      <name val="Calibri"/>
      <family val="2"/>
    </font>
    <font>
      <b/>
      <sz val="11"/>
      <color theme="0"/>
      <name val="Calibri"/>
      <family val="2"/>
    </font>
    <font>
      <sz val="7"/>
      <name val="Calibri"/>
      <family val="2"/>
    </font>
    <font>
      <u/>
      <sz val="11"/>
      <color rgb="FF467886"/>
      <name val="Calibri"/>
      <family val="2"/>
    </font>
    <font>
      <sz val="8"/>
      <name val="Arial"/>
      <family val="2"/>
    </font>
    <font>
      <u/>
      <sz val="10"/>
      <color theme="0"/>
      <name val="Arial"/>
      <family val="2"/>
    </font>
    <font>
      <u/>
      <sz val="11"/>
      <color theme="0"/>
      <name val="Calibri"/>
      <family val="2"/>
    </font>
    <font>
      <u/>
      <sz val="12"/>
      <color rgb="FF467886"/>
      <name val="Calibri"/>
      <family val="2"/>
    </font>
    <font>
      <u/>
      <sz val="7"/>
      <color rgb="FF467886"/>
      <name val="Calibri"/>
      <family val="2"/>
    </font>
    <font>
      <sz val="11"/>
      <color rgb="FF00A44A"/>
      <name val="Calibri"/>
      <family val="2"/>
    </font>
    <font>
      <b/>
      <sz val="11"/>
      <color rgb="FF000000"/>
      <name val="Calibri"/>
      <family val="2"/>
    </font>
    <font>
      <b/>
      <sz val="11"/>
      <color theme="1"/>
      <name val="Calibri"/>
      <family val="2"/>
    </font>
    <font>
      <b/>
      <sz val="11"/>
      <name val="Calibri"/>
      <family val="2"/>
    </font>
    <font>
      <u/>
      <sz val="11"/>
      <color theme="1"/>
      <name val="Calibri"/>
      <family val="2"/>
    </font>
    <font>
      <sz val="11"/>
      <name val="Calibri"/>
      <family val="2"/>
    </font>
    <font>
      <sz val="11"/>
      <color theme="10"/>
      <name val="Arial"/>
      <family val="2"/>
    </font>
    <font>
      <sz val="13"/>
      <color theme="10"/>
      <name val="Arial"/>
      <family val="2"/>
    </font>
    <font>
      <sz val="12"/>
      <color theme="10"/>
      <name val="Arial"/>
      <family val="2"/>
    </font>
    <font>
      <u/>
      <sz val="12"/>
      <color theme="10"/>
      <name val="Calibri"/>
      <family val="2"/>
    </font>
    <font>
      <sz val="11"/>
      <color theme="1"/>
      <name val="Calibri"/>
      <family val="2"/>
    </font>
    <font>
      <sz val="7"/>
      <name val="Calibri"/>
      <family val="2"/>
    </font>
    <font>
      <sz val="11"/>
      <color theme="1"/>
      <name val="Calibri"/>
      <family val="2"/>
    </font>
    <font>
      <sz val="11"/>
      <name val="Calibri"/>
      <family val="2"/>
    </font>
    <font>
      <sz val="7"/>
      <name val="Calibri"/>
      <family val="2"/>
    </font>
    <font>
      <u/>
      <sz val="11"/>
      <name val="Calibri"/>
      <family val="2"/>
    </font>
    <font>
      <sz val="11"/>
      <color rgb="FF00B050"/>
      <name val="Calibri"/>
      <family val="2"/>
    </font>
    <font>
      <sz val="11"/>
      <color theme="1"/>
      <name val="Calibri"/>
    </font>
    <font>
      <sz val="7"/>
      <name val="Calibri"/>
    </font>
    <font>
      <sz val="11"/>
      <color rgb="FF000000"/>
      <name val="Calibri"/>
    </font>
    <font>
      <sz val="11"/>
      <color theme="1"/>
      <name val="Aptos"/>
    </font>
    <font>
      <u/>
      <sz val="12"/>
      <color theme="10"/>
      <name val="Calibri"/>
    </font>
    <font>
      <u/>
      <sz val="11"/>
      <color rgb="FF467886"/>
      <name val="Calibri"/>
    </font>
    <font>
      <sz val="11"/>
      <color rgb="FFFF0000"/>
      <name val="Calibri"/>
      <family val="2"/>
    </font>
    <font>
      <sz val="11"/>
      <color rgb="FFFF0000"/>
      <name val="Calibri"/>
    </font>
    <font>
      <sz val="7"/>
      <color rgb="FFFF0000"/>
      <name val="Calibri"/>
    </font>
    <font>
      <sz val="12"/>
      <color rgb="FFFF0000"/>
      <name val="Arial"/>
      <family val="2"/>
    </font>
    <font>
      <u/>
      <sz val="10"/>
      <color rgb="FFFF0000"/>
      <name val="Arial"/>
      <family val="2"/>
    </font>
    <font>
      <sz val="11"/>
      <color rgb="FFFF0000"/>
      <name val="Arial"/>
      <family val="2"/>
    </font>
  </fonts>
  <fills count="10">
    <fill>
      <patternFill patternType="none"/>
    </fill>
    <fill>
      <patternFill patternType="gray125"/>
    </fill>
    <fill>
      <patternFill patternType="solid">
        <fgColor theme="0"/>
        <bgColor indexed="64"/>
      </patternFill>
    </fill>
    <fill>
      <patternFill patternType="solid">
        <fgColor theme="1" tint="0.14999847407452621"/>
        <bgColor indexed="64"/>
      </patternFill>
    </fill>
    <fill>
      <patternFill patternType="solid">
        <fgColor rgb="FFD20816"/>
        <bgColor indexed="64"/>
      </patternFill>
    </fill>
    <fill>
      <patternFill patternType="solid">
        <fgColor rgb="FF262626"/>
        <bgColor indexed="64"/>
      </patternFill>
    </fill>
    <fill>
      <patternFill patternType="solid">
        <fgColor rgb="FFFFFFFF"/>
        <bgColor indexed="64"/>
      </patternFill>
    </fill>
    <fill>
      <patternFill patternType="solid">
        <fgColor rgb="FFFFFF00"/>
        <bgColor indexed="64"/>
      </patternFill>
    </fill>
    <fill>
      <patternFill patternType="solid">
        <fgColor theme="5" tint="0.59999389629810485"/>
        <bgColor indexed="64"/>
      </patternFill>
    </fill>
    <fill>
      <patternFill patternType="solid">
        <fgColor rgb="FF00FF99"/>
        <bgColor indexed="64"/>
      </patternFill>
    </fill>
  </fills>
  <borders count="3">
    <border>
      <left/>
      <right/>
      <top/>
      <bottom/>
      <diagonal/>
    </border>
    <border>
      <left style="thin">
        <color theme="1" tint="0.14999847407452621"/>
      </left>
      <right style="thin">
        <color theme="1" tint="0.14999847407452621"/>
      </right>
      <top style="thin">
        <color theme="1" tint="0.14999847407452621"/>
      </top>
      <bottom style="thin">
        <color theme="1" tint="0.14999847407452621"/>
      </bottom>
      <diagonal/>
    </border>
    <border>
      <left style="thin">
        <color theme="1" tint="0.14999847407452621"/>
      </left>
      <right/>
      <top/>
      <bottom style="thin">
        <color rgb="FF262626"/>
      </bottom>
      <diagonal/>
    </border>
  </borders>
  <cellStyleXfs count="4">
    <xf numFmtId="0" fontId="0" fillId="0" borderId="0"/>
    <xf numFmtId="0" fontId="2" fillId="0" borderId="0" applyNumberFormat="0" applyFill="0" applyBorder="0" applyAlignment="0" applyProtection="0"/>
    <xf numFmtId="0" fontId="1" fillId="0" borderId="0"/>
    <xf numFmtId="0" fontId="5" fillId="0" borderId="0" applyNumberFormat="0" applyFill="0" applyBorder="0" applyAlignment="0" applyProtection="0"/>
  </cellStyleXfs>
  <cellXfs count="150">
    <xf numFmtId="0" fontId="0" fillId="0" borderId="0" xfId="0"/>
    <xf numFmtId="0" fontId="7" fillId="0" borderId="0" xfId="2" applyFont="1" applyAlignment="1">
      <alignment vertical="center"/>
    </xf>
    <xf numFmtId="164" fontId="7" fillId="0" borderId="0" xfId="2" applyNumberFormat="1" applyFont="1" applyAlignment="1">
      <alignment horizontal="left" vertical="center"/>
    </xf>
    <xf numFmtId="16" fontId="7" fillId="0" borderId="0" xfId="2" applyNumberFormat="1" applyFont="1" applyAlignment="1">
      <alignment vertical="center"/>
    </xf>
    <xf numFmtId="0" fontId="4" fillId="0" borderId="0" xfId="2" applyFont="1" applyAlignment="1">
      <alignment vertical="center"/>
    </xf>
    <xf numFmtId="0" fontId="3" fillId="0" borderId="0" xfId="2" applyFont="1" applyAlignment="1">
      <alignment vertical="center"/>
    </xf>
    <xf numFmtId="0" fontId="4" fillId="2" borderId="0" xfId="2" applyFont="1" applyFill="1" applyAlignment="1">
      <alignment horizontal="left" vertical="center"/>
    </xf>
    <xf numFmtId="0" fontId="7" fillId="2" borderId="0" xfId="2" applyFont="1" applyFill="1" applyAlignment="1">
      <alignment vertical="center"/>
    </xf>
    <xf numFmtId="0" fontId="4" fillId="0" borderId="0" xfId="2" applyFont="1" applyAlignment="1">
      <alignment horizontal="left" vertical="center"/>
    </xf>
    <xf numFmtId="16" fontId="7" fillId="0" borderId="0" xfId="2" applyNumberFormat="1" applyFont="1" applyAlignment="1">
      <alignment horizontal="left" vertical="center"/>
    </xf>
    <xf numFmtId="16" fontId="9" fillId="0" borderId="0" xfId="2" applyNumberFormat="1" applyFont="1" applyAlignment="1">
      <alignment vertical="center"/>
    </xf>
    <xf numFmtId="164" fontId="7" fillId="2" borderId="0" xfId="2" applyNumberFormat="1" applyFont="1" applyFill="1" applyAlignment="1">
      <alignment horizontal="center" vertical="center"/>
    </xf>
    <xf numFmtId="164" fontId="7" fillId="2" borderId="0" xfId="2" applyNumberFormat="1" applyFont="1" applyFill="1" applyAlignment="1">
      <alignment vertical="center"/>
    </xf>
    <xf numFmtId="0" fontId="4" fillId="2" borderId="0" xfId="2" applyFont="1" applyFill="1" applyAlignment="1">
      <alignment vertical="center"/>
    </xf>
    <xf numFmtId="14" fontId="13" fillId="2" borderId="0" xfId="2" applyNumberFormat="1" applyFont="1" applyFill="1" applyAlignment="1">
      <alignment horizontal="centerContinuous" vertical="center" wrapText="1"/>
    </xf>
    <xf numFmtId="0" fontId="13" fillId="2" borderId="0" xfId="2" applyFont="1" applyFill="1" applyAlignment="1">
      <alignment horizontal="left" vertical="center"/>
    </xf>
    <xf numFmtId="16" fontId="13" fillId="2" borderId="0" xfId="2" applyNumberFormat="1" applyFont="1" applyFill="1" applyAlignment="1">
      <alignment horizontal="centerContinuous" vertical="center"/>
    </xf>
    <xf numFmtId="0" fontId="7" fillId="0" borderId="0" xfId="2" applyFont="1" applyAlignment="1">
      <alignment vertical="top"/>
    </xf>
    <xf numFmtId="0" fontId="10" fillId="2" borderId="0" xfId="2" applyFont="1" applyFill="1" applyAlignment="1">
      <alignment horizontal="left" vertical="center"/>
    </xf>
    <xf numFmtId="14" fontId="10" fillId="2" borderId="0" xfId="2" applyNumberFormat="1" applyFont="1" applyFill="1" applyAlignment="1">
      <alignment horizontal="centerContinuous" vertical="center" wrapText="1"/>
    </xf>
    <xf numFmtId="164" fontId="7" fillId="2" borderId="0" xfId="2" applyNumberFormat="1" applyFont="1" applyFill="1" applyAlignment="1">
      <alignment horizontal="left" vertical="center"/>
    </xf>
    <xf numFmtId="16" fontId="7" fillId="2" borderId="0" xfId="2" applyNumberFormat="1" applyFont="1" applyFill="1" applyAlignment="1">
      <alignment vertical="center"/>
    </xf>
    <xf numFmtId="164" fontId="8" fillId="3" borderId="0" xfId="2" applyNumberFormat="1" applyFont="1" applyFill="1" applyAlignment="1">
      <alignment horizontal="left" vertical="center"/>
    </xf>
    <xf numFmtId="0" fontId="8" fillId="3" borderId="0" xfId="2" applyFont="1" applyFill="1" applyAlignment="1">
      <alignment vertical="center"/>
    </xf>
    <xf numFmtId="16" fontId="8" fillId="3" borderId="0" xfId="2" applyNumberFormat="1" applyFont="1" applyFill="1" applyAlignment="1">
      <alignment horizontal="left" vertical="center"/>
    </xf>
    <xf numFmtId="16" fontId="8" fillId="3" borderId="0" xfId="2" applyNumberFormat="1" applyFont="1" applyFill="1" applyAlignment="1">
      <alignment vertical="center"/>
    </xf>
    <xf numFmtId="16" fontId="6" fillId="3" borderId="0" xfId="1" applyNumberFormat="1" applyFont="1" applyFill="1" applyAlignment="1">
      <alignment vertical="center"/>
    </xf>
    <xf numFmtId="0" fontId="8" fillId="3" borderId="0" xfId="2" applyFont="1" applyFill="1" applyAlignment="1">
      <alignment horizontal="left" vertical="center"/>
    </xf>
    <xf numFmtId="0" fontId="4" fillId="3" borderId="1" xfId="2" applyFont="1" applyFill="1" applyBorder="1" applyAlignment="1">
      <alignment horizontal="left" vertical="center"/>
    </xf>
    <xf numFmtId="0" fontId="7" fillId="2" borderId="0" xfId="0" applyFont="1" applyFill="1" applyAlignment="1">
      <alignment vertical="center" wrapText="1"/>
    </xf>
    <xf numFmtId="0" fontId="7" fillId="0" borderId="0" xfId="0" applyFont="1" applyAlignment="1">
      <alignment vertical="center" wrapText="1"/>
    </xf>
    <xf numFmtId="0" fontId="8" fillId="4" borderId="0" xfId="0" applyFont="1" applyFill="1" applyAlignment="1">
      <alignment vertical="center" wrapText="1"/>
    </xf>
    <xf numFmtId="0" fontId="7" fillId="2" borderId="0" xfId="0" applyFont="1" applyFill="1" applyAlignment="1">
      <alignment vertical="center"/>
    </xf>
    <xf numFmtId="0" fontId="7" fillId="0" borderId="0" xfId="0" applyFont="1" applyAlignment="1">
      <alignment vertical="center"/>
    </xf>
    <xf numFmtId="0" fontId="19" fillId="0" borderId="0" xfId="0" applyFont="1" applyAlignment="1">
      <alignment vertical="center" wrapText="1"/>
    </xf>
    <xf numFmtId="0" fontId="8" fillId="4" borderId="0" xfId="0" applyFont="1" applyFill="1" applyAlignment="1">
      <alignment vertical="center"/>
    </xf>
    <xf numFmtId="0" fontId="7" fillId="2" borderId="0" xfId="0" applyFont="1" applyFill="1" applyAlignment="1">
      <alignment horizontal="left" vertical="center"/>
    </xf>
    <xf numFmtId="0" fontId="8" fillId="4" borderId="0" xfId="0" applyFont="1" applyFill="1" applyAlignment="1">
      <alignment horizontal="left" vertical="center"/>
    </xf>
    <xf numFmtId="49" fontId="7" fillId="0" borderId="0" xfId="0" applyNumberFormat="1" applyFont="1" applyAlignment="1">
      <alignment horizontal="left" vertical="center"/>
    </xf>
    <xf numFmtId="0" fontId="7" fillId="0" borderId="0" xfId="0" applyFont="1" applyAlignment="1">
      <alignment horizontal="left" vertical="center"/>
    </xf>
    <xf numFmtId="49" fontId="7" fillId="0" borderId="0" xfId="0" applyNumberFormat="1" applyFont="1" applyAlignment="1">
      <alignment horizontal="left" vertical="center" wrapText="1"/>
    </xf>
    <xf numFmtId="0" fontId="17" fillId="0" borderId="0" xfId="0" applyFont="1" applyAlignment="1">
      <alignment vertical="center"/>
    </xf>
    <xf numFmtId="0" fontId="4" fillId="0" borderId="0" xfId="0" applyFont="1" applyAlignment="1">
      <alignment vertical="center"/>
    </xf>
    <xf numFmtId="49" fontId="4" fillId="0" borderId="0" xfId="0" applyNumberFormat="1" applyFont="1" applyAlignment="1">
      <alignment horizontal="left" vertical="center"/>
    </xf>
    <xf numFmtId="0" fontId="18" fillId="0" borderId="0" xfId="0" applyFont="1" applyAlignment="1">
      <alignment vertical="center"/>
    </xf>
    <xf numFmtId="0" fontId="4" fillId="0" borderId="0" xfId="0" applyFont="1" applyAlignment="1">
      <alignment vertical="center" wrapText="1"/>
    </xf>
    <xf numFmtId="16" fontId="2" fillId="0" borderId="0" xfId="1" applyNumberFormat="1" applyFill="1" applyAlignment="1">
      <alignment vertical="center"/>
    </xf>
    <xf numFmtId="0" fontId="21" fillId="2" borderId="0" xfId="2" applyFont="1" applyFill="1" applyAlignment="1">
      <alignment vertical="center"/>
    </xf>
    <xf numFmtId="16" fontId="2" fillId="3" borderId="0" xfId="1" applyNumberFormat="1" applyFill="1" applyAlignment="1">
      <alignment vertical="center"/>
    </xf>
    <xf numFmtId="0" fontId="23" fillId="0" borderId="0" xfId="1" applyFont="1" applyAlignment="1">
      <alignment horizontal="center" vertical="center"/>
    </xf>
    <xf numFmtId="0" fontId="22" fillId="0" borderId="0" xfId="1" applyFont="1" applyAlignment="1">
      <alignment horizontal="center" vertical="center"/>
    </xf>
    <xf numFmtId="0" fontId="24" fillId="0" borderId="0" xfId="1" applyFont="1" applyAlignment="1">
      <alignment horizontal="center" vertical="center"/>
    </xf>
    <xf numFmtId="0" fontId="22" fillId="2" borderId="0" xfId="1" applyFont="1" applyFill="1" applyAlignment="1">
      <alignment horizontal="center" vertical="center"/>
    </xf>
    <xf numFmtId="0" fontId="24" fillId="0" borderId="0" xfId="1" applyFont="1" applyFill="1" applyAlignment="1">
      <alignment horizontal="center" vertical="center"/>
    </xf>
    <xf numFmtId="0" fontId="23" fillId="0" borderId="0" xfId="1" applyFont="1" applyFill="1" applyAlignment="1">
      <alignment horizontal="center" vertical="center"/>
    </xf>
    <xf numFmtId="0" fontId="8" fillId="5" borderId="0" xfId="2" applyFont="1" applyFill="1" applyAlignment="1">
      <alignment vertical="center"/>
    </xf>
    <xf numFmtId="0" fontId="8" fillId="5" borderId="2" xfId="2" applyFont="1" applyFill="1" applyBorder="1" applyAlignment="1">
      <alignment vertical="center"/>
    </xf>
    <xf numFmtId="16" fontId="26" fillId="0" borderId="0" xfId="2" applyNumberFormat="1" applyFont="1" applyAlignment="1">
      <alignment horizontal="left" vertical="center"/>
    </xf>
    <xf numFmtId="16" fontId="27" fillId="0" borderId="0" xfId="2" applyNumberFormat="1" applyFont="1" applyAlignment="1">
      <alignment vertical="center"/>
    </xf>
    <xf numFmtId="0" fontId="2" fillId="0" borderId="0" xfId="1" applyAlignment="1">
      <alignment vertical="center"/>
    </xf>
    <xf numFmtId="0" fontId="25" fillId="2" borderId="0" xfId="1" applyNumberFormat="1" applyFont="1" applyFill="1" applyAlignment="1">
      <alignment vertical="center"/>
    </xf>
    <xf numFmtId="0" fontId="13" fillId="2" borderId="0" xfId="2" applyFont="1" applyFill="1" applyAlignment="1">
      <alignment vertical="center"/>
    </xf>
    <xf numFmtId="0" fontId="12" fillId="2" borderId="0" xfId="1" applyFont="1" applyFill="1" applyAlignment="1">
      <alignment vertical="center"/>
    </xf>
    <xf numFmtId="0" fontId="28" fillId="2" borderId="0" xfId="2" applyFont="1" applyFill="1" applyAlignment="1">
      <alignment vertical="center"/>
    </xf>
    <xf numFmtId="14" fontId="13" fillId="2" borderId="0" xfId="2" applyNumberFormat="1" applyFont="1" applyFill="1" applyAlignment="1">
      <alignment vertical="center" wrapText="1"/>
    </xf>
    <xf numFmtId="0" fontId="10" fillId="2" borderId="0" xfId="2" applyFont="1" applyFill="1" applyAlignment="1">
      <alignment vertical="center"/>
    </xf>
    <xf numFmtId="164" fontId="14" fillId="2" borderId="0" xfId="2" applyNumberFormat="1" applyFont="1" applyFill="1" applyAlignment="1">
      <alignment vertical="center"/>
    </xf>
    <xf numFmtId="16" fontId="10" fillId="2" borderId="0" xfId="2" applyNumberFormat="1" applyFont="1" applyFill="1" applyAlignment="1">
      <alignment vertical="center"/>
    </xf>
    <xf numFmtId="16" fontId="15" fillId="2" borderId="0" xfId="2" applyNumberFormat="1" applyFont="1" applyFill="1" applyAlignment="1">
      <alignment vertical="center"/>
    </xf>
    <xf numFmtId="14" fontId="10" fillId="2" borderId="0" xfId="2" applyNumberFormat="1" applyFont="1" applyFill="1" applyAlignment="1">
      <alignment vertical="center" wrapText="1"/>
    </xf>
    <xf numFmtId="164" fontId="29" fillId="6" borderId="0" xfId="2" applyNumberFormat="1" applyFont="1" applyFill="1" applyAlignment="1">
      <alignment horizontal="left" vertical="center"/>
    </xf>
    <xf numFmtId="164" fontId="28" fillId="6" borderId="0" xfId="2" applyNumberFormat="1" applyFont="1" applyFill="1" applyAlignment="1">
      <alignment horizontal="left" vertical="center"/>
    </xf>
    <xf numFmtId="0" fontId="4" fillId="6" borderId="0" xfId="2" applyFont="1" applyFill="1" applyAlignment="1">
      <alignment horizontal="left" vertical="center"/>
    </xf>
    <xf numFmtId="0" fontId="22" fillId="6" borderId="0" xfId="1" applyFont="1" applyFill="1" applyAlignment="1">
      <alignment horizontal="center" vertical="center"/>
    </xf>
    <xf numFmtId="16" fontId="30" fillId="0" borderId="0" xfId="2" applyNumberFormat="1" applyFont="1" applyAlignment="1">
      <alignment vertical="center"/>
    </xf>
    <xf numFmtId="164" fontId="21" fillId="0" borderId="0" xfId="2" applyNumberFormat="1" applyFont="1" applyAlignment="1">
      <alignment horizontal="left" vertical="center"/>
    </xf>
    <xf numFmtId="0" fontId="25" fillId="2" borderId="0" xfId="1" applyFont="1" applyFill="1" applyAlignment="1">
      <alignment vertical="center"/>
    </xf>
    <xf numFmtId="0" fontId="21" fillId="0" borderId="0" xfId="2" applyFont="1" applyAlignment="1">
      <alignment vertical="center"/>
    </xf>
    <xf numFmtId="16" fontId="21" fillId="0" borderId="0" xfId="2" applyNumberFormat="1" applyFont="1" applyAlignment="1">
      <alignment horizontal="left" vertical="center"/>
    </xf>
    <xf numFmtId="0" fontId="31" fillId="0" borderId="0" xfId="2" applyFont="1" applyAlignment="1">
      <alignment vertical="center"/>
    </xf>
    <xf numFmtId="164" fontId="29" fillId="0" borderId="0" xfId="2" applyNumberFormat="1" applyFont="1" applyAlignment="1">
      <alignment horizontal="left" vertical="center"/>
    </xf>
    <xf numFmtId="0" fontId="21" fillId="0" borderId="0" xfId="0" applyFont="1" applyAlignment="1">
      <alignment vertical="center"/>
    </xf>
    <xf numFmtId="0" fontId="0" fillId="0" borderId="0" xfId="0" applyAlignment="1">
      <alignment vertical="center"/>
    </xf>
    <xf numFmtId="164" fontId="28" fillId="7" borderId="0" xfId="2" applyNumberFormat="1" applyFont="1" applyFill="1" applyAlignment="1">
      <alignment horizontal="left" vertical="center"/>
    </xf>
    <xf numFmtId="0" fontId="7" fillId="0" borderId="0" xfId="2" applyFont="1" applyAlignment="1">
      <alignment horizontal="left" vertical="center"/>
    </xf>
    <xf numFmtId="16" fontId="2" fillId="0" borderId="0" xfId="1" applyNumberFormat="1" applyFill="1" applyAlignment="1">
      <alignment horizontal="left" vertical="center"/>
    </xf>
    <xf numFmtId="14" fontId="4" fillId="0" borderId="0" xfId="2" applyNumberFormat="1" applyFont="1" applyAlignment="1">
      <alignment horizontal="left" vertical="center" wrapText="1"/>
    </xf>
    <xf numFmtId="14" fontId="7" fillId="0" borderId="0" xfId="2" applyNumberFormat="1" applyFont="1" applyAlignment="1">
      <alignment horizontal="left" vertical="center" wrapText="1"/>
    </xf>
    <xf numFmtId="14" fontId="32" fillId="0" borderId="0" xfId="2" applyNumberFormat="1" applyFont="1" applyAlignment="1">
      <alignment horizontal="left" vertical="center" wrapText="1"/>
    </xf>
    <xf numFmtId="0" fontId="2" fillId="0" borderId="0" xfId="1"/>
    <xf numFmtId="164" fontId="29" fillId="8" borderId="0" xfId="2" applyNumberFormat="1" applyFont="1" applyFill="1" applyAlignment="1">
      <alignment horizontal="left" vertical="center"/>
    </xf>
    <xf numFmtId="164" fontId="7" fillId="8" borderId="0" xfId="2" applyNumberFormat="1" applyFont="1" applyFill="1" applyAlignment="1">
      <alignment horizontal="left" vertical="center"/>
    </xf>
    <xf numFmtId="0" fontId="7" fillId="8" borderId="0" xfId="0" applyFont="1" applyFill="1" applyAlignment="1">
      <alignment horizontal="left" vertical="center"/>
    </xf>
    <xf numFmtId="0" fontId="7" fillId="8" borderId="0" xfId="2" applyFont="1" applyFill="1" applyAlignment="1">
      <alignment horizontal="left" vertical="center"/>
    </xf>
    <xf numFmtId="16" fontId="7" fillId="8" borderId="0" xfId="2" applyNumberFormat="1" applyFont="1" applyFill="1" applyAlignment="1">
      <alignment horizontal="left" vertical="center"/>
    </xf>
    <xf numFmtId="16" fontId="9" fillId="8" borderId="0" xfId="2" applyNumberFormat="1" applyFont="1" applyFill="1" applyAlignment="1">
      <alignment vertical="center"/>
    </xf>
    <xf numFmtId="0" fontId="24" fillId="8" borderId="0" xfId="1" applyFont="1" applyFill="1" applyAlignment="1">
      <alignment horizontal="center" vertical="center"/>
    </xf>
    <xf numFmtId="16" fontId="2" fillId="8" borderId="0" xfId="1" applyNumberFormat="1" applyFill="1" applyAlignment="1">
      <alignment horizontal="left" vertical="center"/>
    </xf>
    <xf numFmtId="0" fontId="23" fillId="8" borderId="0" xfId="1" applyFont="1" applyFill="1" applyAlignment="1">
      <alignment horizontal="center" vertical="center"/>
    </xf>
    <xf numFmtId="164" fontId="28" fillId="8" borderId="0" xfId="2" applyNumberFormat="1" applyFont="1" applyFill="1" applyAlignment="1">
      <alignment horizontal="left" vertical="center"/>
    </xf>
    <xf numFmtId="0" fontId="32" fillId="0" borderId="0" xfId="2" applyFont="1" applyAlignment="1">
      <alignment vertical="center"/>
    </xf>
    <xf numFmtId="0" fontId="32" fillId="0" borderId="0" xfId="2" applyFont="1" applyAlignment="1">
      <alignment vertical="center" wrapText="1"/>
    </xf>
    <xf numFmtId="164" fontId="33" fillId="0" borderId="0" xfId="2" applyNumberFormat="1" applyFont="1" applyAlignment="1">
      <alignment horizontal="left" vertical="center"/>
    </xf>
    <xf numFmtId="0" fontId="33" fillId="0" borderId="0" xfId="0" applyFont="1" applyAlignment="1">
      <alignment horizontal="left" vertical="center"/>
    </xf>
    <xf numFmtId="0" fontId="33" fillId="0" borderId="0" xfId="2" applyFont="1" applyAlignment="1">
      <alignment horizontal="left" vertical="center"/>
    </xf>
    <xf numFmtId="16" fontId="33" fillId="0" borderId="0" xfId="2" applyNumberFormat="1" applyFont="1" applyAlignment="1">
      <alignment horizontal="left" vertical="center"/>
    </xf>
    <xf numFmtId="16" fontId="34" fillId="0" borderId="0" xfId="2" applyNumberFormat="1" applyFont="1" applyAlignment="1">
      <alignment vertical="center"/>
    </xf>
    <xf numFmtId="0" fontId="35" fillId="0" borderId="0" xfId="2" applyFont="1" applyAlignment="1">
      <alignment vertical="center"/>
    </xf>
    <xf numFmtId="16" fontId="24" fillId="0" borderId="0" xfId="1" applyNumberFormat="1" applyFont="1" applyFill="1" applyAlignment="1">
      <alignment horizontal="center" vertical="center"/>
    </xf>
    <xf numFmtId="14" fontId="35" fillId="0" borderId="0" xfId="2" applyNumberFormat="1" applyFont="1" applyAlignment="1">
      <alignment horizontal="left" vertical="center" wrapText="1"/>
    </xf>
    <xf numFmtId="0" fontId="36" fillId="0" borderId="0" xfId="0" applyFont="1"/>
    <xf numFmtId="0" fontId="37" fillId="2" borderId="0" xfId="1" applyFont="1" applyFill="1" applyAlignment="1">
      <alignment vertical="center"/>
    </xf>
    <xf numFmtId="16" fontId="38" fillId="2" borderId="0" xfId="2" applyNumberFormat="1" applyFont="1" applyFill="1" applyAlignment="1">
      <alignment vertical="center"/>
    </xf>
    <xf numFmtId="164" fontId="29" fillId="2" borderId="0" xfId="2" applyNumberFormat="1" applyFont="1" applyFill="1" applyAlignment="1">
      <alignment horizontal="left" vertical="center"/>
    </xf>
    <xf numFmtId="164" fontId="28" fillId="2" borderId="0" xfId="2" applyNumberFormat="1" applyFont="1" applyFill="1" applyAlignment="1">
      <alignment horizontal="left" vertical="center"/>
    </xf>
    <xf numFmtId="0" fontId="2" fillId="0" borderId="0" xfId="1" applyFill="1"/>
    <xf numFmtId="164" fontId="7" fillId="9" borderId="0" xfId="2" applyNumberFormat="1" applyFont="1" applyFill="1" applyAlignment="1">
      <alignment horizontal="left" vertical="center"/>
    </xf>
    <xf numFmtId="0" fontId="7" fillId="9" borderId="0" xfId="0" applyFont="1" applyFill="1" applyAlignment="1">
      <alignment horizontal="left" vertical="center"/>
    </xf>
    <xf numFmtId="0" fontId="7" fillId="9" borderId="0" xfId="2" applyFont="1" applyFill="1" applyAlignment="1">
      <alignment horizontal="left" vertical="center"/>
    </xf>
    <xf numFmtId="16" fontId="7" fillId="9" borderId="0" xfId="2" applyNumberFormat="1" applyFont="1" applyFill="1" applyAlignment="1">
      <alignment horizontal="left" vertical="center"/>
    </xf>
    <xf numFmtId="16" fontId="9" fillId="9" borderId="0" xfId="2" applyNumberFormat="1" applyFont="1" applyFill="1" applyAlignment="1">
      <alignment vertical="center"/>
    </xf>
    <xf numFmtId="0" fontId="24" fillId="9" borderId="0" xfId="1" applyFont="1" applyFill="1" applyAlignment="1">
      <alignment horizontal="center" vertical="center"/>
    </xf>
    <xf numFmtId="16" fontId="2" fillId="9" borderId="0" xfId="1" applyNumberFormat="1" applyFill="1" applyAlignment="1">
      <alignment horizontal="left" vertical="center"/>
    </xf>
    <xf numFmtId="14" fontId="4" fillId="9" borderId="0" xfId="2" applyNumberFormat="1" applyFont="1" applyFill="1" applyAlignment="1">
      <alignment horizontal="left" vertical="center" wrapText="1"/>
    </xf>
    <xf numFmtId="0" fontId="4" fillId="8" borderId="0" xfId="2" applyFont="1" applyFill="1" applyAlignment="1">
      <alignment vertical="center"/>
    </xf>
    <xf numFmtId="164" fontId="28" fillId="0" borderId="0" xfId="2" applyNumberFormat="1" applyFont="1" applyAlignment="1">
      <alignment horizontal="left" vertical="center"/>
    </xf>
    <xf numFmtId="0" fontId="39" fillId="6" borderId="0" xfId="2" applyFont="1" applyFill="1" applyAlignment="1">
      <alignment horizontal="left" vertical="center"/>
    </xf>
    <xf numFmtId="164" fontId="40" fillId="0" borderId="0" xfId="2" applyNumberFormat="1" applyFont="1" applyAlignment="1">
      <alignment horizontal="left" vertical="center"/>
    </xf>
    <xf numFmtId="0" fontId="40" fillId="0" borderId="0" xfId="0" applyFont="1" applyAlignment="1">
      <alignment horizontal="left" vertical="center"/>
    </xf>
    <xf numFmtId="0" fontId="40" fillId="0" borderId="0" xfId="2" applyFont="1" applyAlignment="1">
      <alignment horizontal="left" vertical="center"/>
    </xf>
    <xf numFmtId="16" fontId="40" fillId="0" borderId="0" xfId="2" applyNumberFormat="1" applyFont="1" applyAlignment="1">
      <alignment horizontal="left" vertical="center"/>
    </xf>
    <xf numFmtId="16" fontId="41" fillId="0" borderId="0" xfId="2" applyNumberFormat="1" applyFont="1" applyAlignment="1">
      <alignment vertical="center"/>
    </xf>
    <xf numFmtId="0" fontId="42" fillId="0" borderId="0" xfId="1" applyFont="1" applyAlignment="1">
      <alignment horizontal="center" vertical="center"/>
    </xf>
    <xf numFmtId="16" fontId="43" fillId="0" borderId="0" xfId="1" applyNumberFormat="1" applyFont="1" applyFill="1" applyAlignment="1">
      <alignment horizontal="left" vertical="center"/>
    </xf>
    <xf numFmtId="14" fontId="40" fillId="0" borderId="0" xfId="2" applyNumberFormat="1" applyFont="1" applyAlignment="1">
      <alignment horizontal="left" vertical="center" wrapText="1"/>
    </xf>
    <xf numFmtId="0" fontId="44" fillId="6" borderId="0" xfId="1" applyFont="1" applyFill="1" applyAlignment="1">
      <alignment horizontal="center" vertical="center"/>
    </xf>
    <xf numFmtId="0" fontId="39" fillId="0" borderId="0" xfId="2" applyFont="1" applyAlignment="1">
      <alignment vertical="center"/>
    </xf>
    <xf numFmtId="0" fontId="39" fillId="0" borderId="0" xfId="0" applyFont="1" applyAlignment="1">
      <alignment horizontal="left" vertical="center"/>
    </xf>
    <xf numFmtId="0" fontId="4" fillId="2" borderId="0" xfId="2" applyFont="1" applyFill="1" applyAlignment="1">
      <alignment horizontal="center" vertical="center"/>
    </xf>
    <xf numFmtId="0" fontId="4" fillId="4" borderId="0" xfId="2" applyFont="1" applyFill="1" applyAlignment="1">
      <alignment horizontal="center" vertical="center"/>
    </xf>
    <xf numFmtId="164" fontId="7" fillId="2" borderId="0" xfId="2" applyNumberFormat="1" applyFont="1" applyFill="1" applyAlignment="1">
      <alignment horizontal="center" vertical="center"/>
    </xf>
    <xf numFmtId="0" fontId="7" fillId="2" borderId="0" xfId="2" applyFont="1" applyFill="1" applyAlignment="1">
      <alignment horizontal="center" vertical="center"/>
    </xf>
    <xf numFmtId="0" fontId="28" fillId="2" borderId="0" xfId="2" applyFont="1" applyFill="1" applyAlignment="1">
      <alignment horizontal="center" vertical="center"/>
    </xf>
    <xf numFmtId="0" fontId="23" fillId="9" borderId="0" xfId="1" applyFont="1" applyFill="1" applyAlignment="1">
      <alignment horizontal="center" vertical="center"/>
    </xf>
    <xf numFmtId="164" fontId="7" fillId="0" borderId="0" xfId="2" applyNumberFormat="1" applyFont="1" applyFill="1" applyAlignment="1">
      <alignment horizontal="left" vertical="center"/>
    </xf>
    <xf numFmtId="0" fontId="7" fillId="0" borderId="0" xfId="0" applyFont="1" applyFill="1" applyAlignment="1">
      <alignment horizontal="left" vertical="center"/>
    </xf>
    <xf numFmtId="0" fontId="7" fillId="0" borderId="0" xfId="2" applyFont="1" applyFill="1" applyAlignment="1">
      <alignment horizontal="left" vertical="center"/>
    </xf>
    <xf numFmtId="16" fontId="7" fillId="0" borderId="0" xfId="2" applyNumberFormat="1" applyFont="1" applyFill="1" applyAlignment="1">
      <alignment horizontal="left" vertical="center"/>
    </xf>
    <xf numFmtId="16" fontId="9" fillId="0" borderId="0" xfId="2" applyNumberFormat="1" applyFont="1" applyFill="1" applyAlignment="1">
      <alignment vertical="center"/>
    </xf>
    <xf numFmtId="0" fontId="4" fillId="0" borderId="0" xfId="2" applyFont="1" applyFill="1" applyAlignment="1">
      <alignment vertical="center"/>
    </xf>
  </cellXfs>
  <cellStyles count="4">
    <cellStyle name="Hyperlink" xfId="1" builtinId="8" customBuiltin="1"/>
    <cellStyle name="Hyperlink 2" xfId="3" xr:uid="{0CC902BD-DC99-4415-B456-E9B1725EDCD5}"/>
    <cellStyle name="Normal" xfId="0" builtinId="0" customBuiltin="1"/>
    <cellStyle name="Normal 2" xfId="2" xr:uid="{72AE062C-5288-448F-8A4F-6B4CA00D8692}"/>
  </cellStyles>
  <dxfs count="4">
    <dxf>
      <font>
        <color rgb="FF9C0006"/>
      </font>
      <fill>
        <patternFill>
          <bgColor rgb="FFFFC7CE"/>
        </patternFill>
      </fill>
    </dxf>
    <dxf>
      <font>
        <b val="0"/>
        <i val="0"/>
        <color rgb="FF642B00"/>
      </font>
      <fill>
        <patternFill>
          <bgColor rgb="FFFFDFC7"/>
        </patternFill>
      </fill>
    </dxf>
    <dxf>
      <font>
        <b val="0"/>
        <i val="0"/>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00FF99"/>
      <color rgb="FF33CCCC"/>
      <color rgb="FFFF0066"/>
      <color rgb="FF467886"/>
      <color rgb="FFFF5050"/>
      <color rgb="FF00FFFF"/>
      <color rgb="FF66CCFF"/>
      <color rgb="FF262626"/>
      <color rgb="FF642B00"/>
      <color rgb="FF7A3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17/06/relationships/rdRichValueTypes" Target="richData/rdRichValueTyp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17/06/relationships/rdRichValueStructure" Target="richData/rdrichvaluestructure.xml"/><Relationship Id="rId5" Type="http://schemas.openxmlformats.org/officeDocument/2006/relationships/theme" Target="theme/theme1.xml"/><Relationship Id="rId15" Type="http://schemas.openxmlformats.org/officeDocument/2006/relationships/customXml" Target="../customXml/item2.xml"/><Relationship Id="rId10" Type="http://schemas.microsoft.com/office/2017/06/relationships/rdRichValue" Target="richData/rdrichvalue.xml"/><Relationship Id="rId4" Type="http://schemas.openxmlformats.org/officeDocument/2006/relationships/worksheet" Target="worksheets/sheet4.xml"/><Relationship Id="rId9" Type="http://schemas.microsoft.com/office/2022/10/relationships/richValueRel" Target="richData/richValueRel.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228600</xdr:colOff>
      <xdr:row>0</xdr:row>
      <xdr:rowOff>-1133475</xdr:rowOff>
    </xdr:from>
    <xdr:to>
      <xdr:col>0</xdr:col>
      <xdr:colOff>228600</xdr:colOff>
      <xdr:row>0</xdr:row>
      <xdr:rowOff>-1125855</xdr:rowOff>
    </xdr:to>
    <xdr:pic>
      <xdr:nvPicPr>
        <xdr:cNvPr id="5" name="Picture 4">
          <a:extLst>
            <a:ext uri="{FF2B5EF4-FFF2-40B4-BE49-F238E27FC236}">
              <a16:creationId xmlns:a16="http://schemas.microsoft.com/office/drawing/2014/main" id="{6F2FB7C9-77A3-4D5B-9302-0F910EC35143}"/>
            </a:ext>
            <a:ext uri="{147F2762-F138-4A5C-976F-8EAC2B608ADB}">
              <a16:predDERef xmlns:a16="http://schemas.microsoft.com/office/drawing/2014/main" pred="{77F21B45-70FB-1587-BC6B-51FCA6A654CA}"/>
            </a:ext>
          </a:extLst>
        </xdr:cNvPr>
        <xdr:cNvPicPr>
          <a:picLocks noChangeAspect="1"/>
        </xdr:cNvPicPr>
      </xdr:nvPicPr>
      <xdr:blipFill>
        <a:blip xmlns:r="http://schemas.openxmlformats.org/officeDocument/2006/relationships" r:embed="rId1"/>
        <a:stretch>
          <a:fillRect/>
        </a:stretch>
      </xdr:blipFill>
      <xdr:spPr>
        <a:xfrm>
          <a:off x="228600" y="-1133475"/>
          <a:ext cx="0" cy="0"/>
        </a:xfrm>
        <a:prstGeom prst="rect">
          <a:avLst/>
        </a:prstGeom>
      </xdr:spPr>
    </xdr:pic>
    <xdr:clientData/>
  </xdr:twoCellAnchor>
  <xdr:twoCellAnchor editAs="oneCell">
    <xdr:from>
      <xdr:col>0</xdr:col>
      <xdr:colOff>104775</xdr:colOff>
      <xdr:row>0</xdr:row>
      <xdr:rowOff>-1238250</xdr:rowOff>
    </xdr:from>
    <xdr:to>
      <xdr:col>0</xdr:col>
      <xdr:colOff>111125</xdr:colOff>
      <xdr:row>0</xdr:row>
      <xdr:rowOff>-1234440</xdr:rowOff>
    </xdr:to>
    <xdr:pic>
      <xdr:nvPicPr>
        <xdr:cNvPr id="6" name="Picture 10">
          <a:extLst>
            <a:ext uri="{FF2B5EF4-FFF2-40B4-BE49-F238E27FC236}">
              <a16:creationId xmlns:a16="http://schemas.microsoft.com/office/drawing/2014/main" id="{CF6F6BB9-8B73-48B3-9EDC-E5D03BF21003}"/>
            </a:ext>
            <a:ext uri="{147F2762-F138-4A5C-976F-8EAC2B608ADB}">
              <a16:predDERef xmlns:a16="http://schemas.microsoft.com/office/drawing/2014/main" pred="{5CE7CE8F-9C31-E85E-74A5-1B32681AF36D}"/>
            </a:ext>
          </a:extLst>
        </xdr:cNvPr>
        <xdr:cNvPicPr>
          <a:picLocks noChangeAspect="1"/>
        </xdr:cNvPicPr>
      </xdr:nvPicPr>
      <xdr:blipFill>
        <a:blip xmlns:r="http://schemas.openxmlformats.org/officeDocument/2006/relationships" r:embed="rId2"/>
        <a:stretch>
          <a:fillRect/>
        </a:stretch>
      </xdr:blipFill>
      <xdr:spPr>
        <a:xfrm>
          <a:off x="104775" y="-1238250"/>
          <a:ext cx="0" cy="0"/>
        </a:xfrm>
        <a:prstGeom prst="rect">
          <a:avLst/>
        </a:prstGeom>
      </xdr:spPr>
    </xdr:pic>
    <xdr:clientData/>
  </xdr:twoCellAnchor>
  <xdr:twoCellAnchor editAs="oneCell">
    <xdr:from>
      <xdr:col>0</xdr:col>
      <xdr:colOff>85725</xdr:colOff>
      <xdr:row>0</xdr:row>
      <xdr:rowOff>-1333500</xdr:rowOff>
    </xdr:from>
    <xdr:to>
      <xdr:col>0</xdr:col>
      <xdr:colOff>95885</xdr:colOff>
      <xdr:row>0</xdr:row>
      <xdr:rowOff>-1333500</xdr:rowOff>
    </xdr:to>
    <xdr:pic>
      <xdr:nvPicPr>
        <xdr:cNvPr id="7" name="Picture 11">
          <a:extLst>
            <a:ext uri="{FF2B5EF4-FFF2-40B4-BE49-F238E27FC236}">
              <a16:creationId xmlns:a16="http://schemas.microsoft.com/office/drawing/2014/main" id="{707D5ACB-AB60-45AB-8E37-B27721E282A9}"/>
            </a:ext>
            <a:ext uri="{147F2762-F138-4A5C-976F-8EAC2B608ADB}">
              <a16:predDERef xmlns:a16="http://schemas.microsoft.com/office/drawing/2014/main" pred="{AF4C0ABA-4CB3-37E1-1FCB-57921D93783C}"/>
            </a:ext>
          </a:extLst>
        </xdr:cNvPr>
        <xdr:cNvPicPr>
          <a:picLocks noChangeAspect="1"/>
        </xdr:cNvPicPr>
      </xdr:nvPicPr>
      <xdr:blipFill>
        <a:blip xmlns:r="http://schemas.openxmlformats.org/officeDocument/2006/relationships" r:embed="rId3"/>
        <a:stretch>
          <a:fillRect/>
        </a:stretch>
      </xdr:blipFill>
      <xdr:spPr>
        <a:xfrm>
          <a:off x="85725" y="-1333500"/>
          <a:ext cx="0" cy="0"/>
        </a:xfrm>
        <a:prstGeom prst="rect">
          <a:avLst/>
        </a:prstGeom>
      </xdr:spPr>
    </xdr:pic>
    <xdr:clientData/>
  </xdr:twoCellAnchor>
</xdr:wsDr>
</file>

<file path=xl/richData/_rels/richValueRel.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
  <rv s="0">
    <v>0</v>
    <v>5</v>
  </rv>
  <rv s="0">
    <v>1</v>
    <v>5</v>
  </rv>
  <rv s="0">
    <v>2</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45F82"/>
      </a:accent1>
      <a:accent2>
        <a:srgbClr val="E87331"/>
      </a:accent2>
      <a:accent3>
        <a:srgbClr val="186C24"/>
      </a:accent3>
      <a:accent4>
        <a:srgbClr val="0F9ED5"/>
      </a:accent4>
      <a:accent5>
        <a:srgbClr val="A02B93"/>
      </a:accent5>
      <a:accent6>
        <a:srgbClr val="4EA72E"/>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file:///\\Collision-Engineers-Matty-PC\Report%20Images\FL68%20DXT" TargetMode="External"/><Relationship Id="rId18" Type="http://schemas.openxmlformats.org/officeDocument/2006/relationships/hyperlink" Target="file:///\\Collision-Engineers-Matty-PC\Report%20Images\KR16%20SVS" TargetMode="External"/><Relationship Id="rId26" Type="http://schemas.openxmlformats.org/officeDocument/2006/relationships/hyperlink" Target="file:///\\Collision-Engineers-Matty-PC\Report%20Images\DV14%20YCK" TargetMode="External"/><Relationship Id="rId3" Type="http://schemas.openxmlformats.org/officeDocument/2006/relationships/hyperlink" Target="file:///\\Collision-Engineers-Matty-PC\Report%20Images\LG63WPV" TargetMode="External"/><Relationship Id="rId21" Type="http://schemas.openxmlformats.org/officeDocument/2006/relationships/hyperlink" Target="file:///\\Collision-Engineers-Matty-PC\Report%20Images\SB73DXA" TargetMode="External"/><Relationship Id="rId7" Type="http://schemas.openxmlformats.org/officeDocument/2006/relationships/hyperlink" Target="file:///\\Collision-Engineers-Matty-PC\Report%20Images\YA67%20PLF" TargetMode="External"/><Relationship Id="rId12" Type="http://schemas.openxmlformats.org/officeDocument/2006/relationships/hyperlink" Target="file:///\\Collision-Engineers-Matty-PC\Report%20Images\HG21URZ" TargetMode="External"/><Relationship Id="rId17" Type="http://schemas.openxmlformats.org/officeDocument/2006/relationships/hyperlink" Target="file:///\\Collision-Engineers-Matty-PC\Report%20Images\SM68YMA" TargetMode="External"/><Relationship Id="rId25" Type="http://schemas.openxmlformats.org/officeDocument/2006/relationships/hyperlink" Target="file:///\\Collision-Engineers-Matty-PC\Report%20Images\YC15%20RBV" TargetMode="External"/><Relationship Id="rId33" Type="http://schemas.openxmlformats.org/officeDocument/2006/relationships/drawing" Target="../drawings/drawing1.xml"/><Relationship Id="rId2" Type="http://schemas.openxmlformats.org/officeDocument/2006/relationships/hyperlink" Target="file:///\\Collision-Engineers-Matty-PC\Report%20Images\MW10%20NYC" TargetMode="External"/><Relationship Id="rId16" Type="http://schemas.openxmlformats.org/officeDocument/2006/relationships/hyperlink" Target="file:///\\Collision-Engineers-Matty-PC\Report%20Images\GY04%20GXT" TargetMode="External"/><Relationship Id="rId20" Type="http://schemas.openxmlformats.org/officeDocument/2006/relationships/hyperlink" Target="file:///\\Collision-Engineers-Matty-PC\Report%20Images\AY20WLP" TargetMode="External"/><Relationship Id="rId29" Type="http://schemas.openxmlformats.org/officeDocument/2006/relationships/hyperlink" Target="file:///\\Collision-Engineers-Matty-PC\Report%20Images\CX15%20LKK" TargetMode="External"/><Relationship Id="rId1" Type="http://schemas.openxmlformats.org/officeDocument/2006/relationships/hyperlink" Target="file:///\\Collision-Engineers-Matty-PC\Report%20Images\MW10%20NYC" TargetMode="External"/><Relationship Id="rId6" Type="http://schemas.openxmlformats.org/officeDocument/2006/relationships/hyperlink" Target="file:///\\Collision-Engineers-Matty-PC\Report%20Images\YE18%20LJB" TargetMode="External"/><Relationship Id="rId11" Type="http://schemas.openxmlformats.org/officeDocument/2006/relationships/hyperlink" Target="file:///\\Collision-Engineers-Matty-PC\Report%20Images\B18%20LYP" TargetMode="External"/><Relationship Id="rId24" Type="http://schemas.openxmlformats.org/officeDocument/2006/relationships/hyperlink" Target="file:///\\Collision-Engineers-Matty-PC\Report%20Images\KE54DYS" TargetMode="External"/><Relationship Id="rId32" Type="http://schemas.openxmlformats.org/officeDocument/2006/relationships/printerSettings" Target="../printerSettings/printerSettings1.bin"/><Relationship Id="rId5" Type="http://schemas.openxmlformats.org/officeDocument/2006/relationships/hyperlink" Target="file:///\\Collision-Engineers-Matty-PC\Report%20Images\OV72%20AHK" TargetMode="External"/><Relationship Id="rId15" Type="http://schemas.openxmlformats.org/officeDocument/2006/relationships/hyperlink" Target="file:///\\Collision-Engineers-Matty-PC\Report%20Images\BX67%20RZU" TargetMode="External"/><Relationship Id="rId23" Type="http://schemas.openxmlformats.org/officeDocument/2006/relationships/hyperlink" Target="file:///\\Collision-Engineers-Matty-PC\Report%20Images\MO51%20NUK" TargetMode="External"/><Relationship Id="rId28" Type="http://schemas.openxmlformats.org/officeDocument/2006/relationships/hyperlink" Target="file:///\\Collision-Engineers-Matty-PC\Report%20Images\YR15%20NKA" TargetMode="External"/><Relationship Id="rId10" Type="http://schemas.openxmlformats.org/officeDocument/2006/relationships/hyperlink" Target="file:///\\Collision-Engineers-Matty-PC\Report%20Images\YP16%20FHA" TargetMode="External"/><Relationship Id="rId19" Type="http://schemas.openxmlformats.org/officeDocument/2006/relationships/hyperlink" Target="file:///\\Collision-Engineers-Matty-PC\Report%20Images\SP66%20KCU" TargetMode="External"/><Relationship Id="rId31" Type="http://schemas.openxmlformats.org/officeDocument/2006/relationships/hyperlink" Target="file:///\\Collision-Engineers-Matty-PC\Report%20Images\YS19%20OUA" TargetMode="External"/><Relationship Id="rId4" Type="http://schemas.openxmlformats.org/officeDocument/2006/relationships/hyperlink" Target="file:///\\Collision-Engineers-Matty-PC\Report%20Images\SH18%20VMO" TargetMode="External"/><Relationship Id="rId9" Type="http://schemas.openxmlformats.org/officeDocument/2006/relationships/hyperlink" Target="file:///\\Collision-Engineers-Matty-PC\Report%20Images\ML23%20KTC" TargetMode="External"/><Relationship Id="rId14" Type="http://schemas.openxmlformats.org/officeDocument/2006/relationships/hyperlink" Target="file:///\\Collision-Engineers-Matty-PC\Report%20Images\BX67%20RZU" TargetMode="External"/><Relationship Id="rId22" Type="http://schemas.openxmlformats.org/officeDocument/2006/relationships/hyperlink" Target="file:///\\Collision-Engineers-Matty-PC\Report%20Images\LL61FZF" TargetMode="External"/><Relationship Id="rId27" Type="http://schemas.openxmlformats.org/officeDocument/2006/relationships/hyperlink" Target="file:///\\Collision-Engineers-Matty-PC\Report%20Images\EA21%20OHB" TargetMode="External"/><Relationship Id="rId30" Type="http://schemas.openxmlformats.org/officeDocument/2006/relationships/hyperlink" Target="file:///\\Collision-Engineers-Matty-PC\Report%20Images\AV59DXR" TargetMode="External"/><Relationship Id="rId8" Type="http://schemas.openxmlformats.org/officeDocument/2006/relationships/hyperlink" Target="file:///\\Collision-Engineers-Matty-PC\Report%20Images\ML23%20KTC"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7D0E04-63D1-4803-BEFF-4CAE53614DC1}">
  <sheetPr codeName="Sheet2"/>
  <dimension ref="A1:AE226"/>
  <sheetViews>
    <sheetView tabSelected="1" topLeftCell="A48" zoomScaleNormal="100" workbookViewId="0">
      <selection activeCell="M58" sqref="M58"/>
    </sheetView>
  </sheetViews>
  <sheetFormatPr defaultColWidth="9.140625" defaultRowHeight="15" x14ac:dyDescent="0.2"/>
  <cols>
    <col min="1" max="1" width="29.28515625" style="4" customWidth="1"/>
    <col min="2" max="2" width="0.42578125" style="8" customWidth="1"/>
    <col min="3" max="3" width="18.5703125" style="2" customWidth="1"/>
    <col min="4" max="4" width="12.85546875" style="1" customWidth="1"/>
    <col min="5" max="5" width="9.7109375" style="1" customWidth="1"/>
    <col min="6" max="7" width="20.140625" style="1" customWidth="1"/>
    <col min="8" max="8" width="16.7109375" style="1" customWidth="1"/>
    <col min="9" max="9" width="8.85546875" style="3" customWidth="1"/>
    <col min="10" max="10" width="5.140625" style="3" customWidth="1"/>
    <col min="11" max="11" width="4.5703125" style="3" customWidth="1"/>
    <col min="12" max="12" width="5.5703125" style="3" customWidth="1"/>
    <col min="13" max="13" width="86.42578125" style="1" customWidth="1"/>
    <col min="14" max="14" width="4.5703125" style="1" customWidth="1"/>
    <col min="15" max="15" width="0.42578125" style="7" customWidth="1"/>
    <col min="16" max="16" width="29.85546875" style="4" customWidth="1"/>
    <col min="17" max="16384" width="9.140625" style="1"/>
  </cols>
  <sheetData>
    <row r="1" spans="1:31" ht="21" customHeight="1" x14ac:dyDescent="0.2">
      <c r="A1" s="138" t="s">
        <v>488</v>
      </c>
      <c r="B1" s="13"/>
      <c r="C1" s="13"/>
      <c r="D1" s="13"/>
      <c r="E1" s="13"/>
      <c r="F1" s="13"/>
      <c r="G1" s="13"/>
      <c r="H1" s="13"/>
      <c r="I1" s="13"/>
      <c r="J1" s="13"/>
      <c r="K1" s="13"/>
      <c r="L1" s="13"/>
      <c r="M1" s="13"/>
      <c r="N1" s="13"/>
      <c r="O1" s="13"/>
      <c r="P1" s="138"/>
      <c r="Q1" s="138"/>
      <c r="R1" s="138"/>
      <c r="S1" s="141"/>
      <c r="T1" s="141"/>
      <c r="U1" s="141"/>
      <c r="V1" s="141"/>
      <c r="W1" s="141"/>
      <c r="X1" s="142"/>
      <c r="Y1" s="141"/>
      <c r="Z1" s="141"/>
    </row>
    <row r="2" spans="1:31" ht="103.5" customHeight="1" x14ac:dyDescent="0.2">
      <c r="A2" s="138"/>
      <c r="B2" s="138" t="e" vm="1">
        <v>#VALUE!</v>
      </c>
      <c r="C2" s="138"/>
      <c r="D2" s="138"/>
      <c r="E2" s="138"/>
      <c r="F2" s="138"/>
      <c r="G2" s="138"/>
      <c r="H2" s="138"/>
      <c r="I2" s="138"/>
      <c r="J2" s="138"/>
      <c r="K2" s="138"/>
      <c r="L2" s="138"/>
      <c r="M2" s="138"/>
      <c r="N2" s="138"/>
      <c r="O2" s="138"/>
      <c r="P2" s="138"/>
      <c r="Q2" s="138"/>
      <c r="R2" s="138"/>
      <c r="S2" s="141"/>
      <c r="T2" s="141"/>
      <c r="U2" s="141"/>
      <c r="V2" s="141"/>
      <c r="W2" s="141"/>
      <c r="X2" s="142"/>
      <c r="Y2" s="141"/>
      <c r="Z2" s="141"/>
    </row>
    <row r="3" spans="1:31" ht="9.75" customHeight="1" x14ac:dyDescent="0.2">
      <c r="A3" s="138"/>
      <c r="B3" s="13"/>
      <c r="C3" s="13"/>
      <c r="D3" s="13"/>
      <c r="E3" s="13"/>
      <c r="F3" s="13"/>
      <c r="G3" s="13"/>
      <c r="H3" s="13"/>
      <c r="I3" s="13"/>
      <c r="J3" s="13"/>
      <c r="K3" s="13"/>
      <c r="L3" s="13"/>
      <c r="M3" s="13"/>
      <c r="N3" s="13"/>
      <c r="O3" s="13"/>
      <c r="P3" s="138"/>
      <c r="Q3" s="138"/>
      <c r="R3" s="138"/>
      <c r="S3" s="141"/>
      <c r="T3" s="141"/>
      <c r="U3" s="141"/>
      <c r="V3" s="141"/>
      <c r="W3" s="141"/>
      <c r="X3" s="142"/>
      <c r="Y3" s="141"/>
      <c r="Z3" s="141"/>
    </row>
    <row r="4" spans="1:31" ht="7.5" customHeight="1" x14ac:dyDescent="0.2">
      <c r="A4" s="138"/>
      <c r="B4" s="139" t="e" vm="2">
        <v>#VALUE!</v>
      </c>
      <c r="C4" s="139"/>
      <c r="D4" s="139"/>
      <c r="E4" s="139"/>
      <c r="F4" s="139"/>
      <c r="G4" s="139"/>
      <c r="H4" s="139"/>
      <c r="I4" s="139"/>
      <c r="J4" s="139"/>
      <c r="K4" s="139"/>
      <c r="L4" s="139"/>
      <c r="M4" s="139"/>
      <c r="N4" s="139"/>
      <c r="O4" s="139"/>
      <c r="P4" s="138"/>
      <c r="Q4" s="138"/>
      <c r="R4" s="138"/>
      <c r="S4" s="141"/>
      <c r="T4" s="141"/>
      <c r="U4" s="141"/>
      <c r="V4" s="141"/>
      <c r="W4" s="141"/>
      <c r="X4" s="142"/>
      <c r="Y4" s="141"/>
      <c r="Z4" s="141"/>
    </row>
    <row r="5" spans="1:31" ht="30" customHeight="1" x14ac:dyDescent="0.2">
      <c r="A5" s="138"/>
      <c r="B5" s="139"/>
      <c r="C5" s="139"/>
      <c r="D5" s="139"/>
      <c r="E5" s="139"/>
      <c r="F5" s="139"/>
      <c r="G5" s="139"/>
      <c r="H5" s="139"/>
      <c r="I5" s="139"/>
      <c r="J5" s="139"/>
      <c r="K5" s="139"/>
      <c r="L5" s="139"/>
      <c r="M5" s="139"/>
      <c r="N5" s="139"/>
      <c r="O5" s="139"/>
      <c r="P5" s="138"/>
      <c r="Q5" s="138"/>
      <c r="R5" s="138"/>
      <c r="S5" s="141"/>
      <c r="T5" s="141"/>
      <c r="U5" s="141"/>
      <c r="V5" s="141"/>
      <c r="W5" s="141"/>
      <c r="X5" s="142"/>
      <c r="Y5" s="141"/>
      <c r="Z5" s="141"/>
    </row>
    <row r="6" spans="1:31" ht="20.100000000000001" customHeight="1" x14ac:dyDescent="0.2">
      <c r="A6" s="138"/>
      <c r="B6" s="28"/>
      <c r="C6" s="22" t="s">
        <v>0</v>
      </c>
      <c r="D6" s="23" t="s">
        <v>1</v>
      </c>
      <c r="E6" s="23" t="s">
        <v>2</v>
      </c>
      <c r="F6" s="23" t="s">
        <v>3</v>
      </c>
      <c r="G6" s="23" t="s">
        <v>4</v>
      </c>
      <c r="H6" s="23" t="s">
        <v>23</v>
      </c>
      <c r="I6" s="24" t="s">
        <v>5</v>
      </c>
      <c r="J6" s="25"/>
      <c r="K6" s="25"/>
      <c r="L6" s="26"/>
      <c r="M6" s="23" t="s">
        <v>6</v>
      </c>
      <c r="N6" s="23"/>
      <c r="O6" s="56"/>
      <c r="P6" s="138"/>
      <c r="Q6" s="138"/>
      <c r="R6" s="138"/>
      <c r="S6" s="141"/>
      <c r="T6" s="141"/>
      <c r="U6" s="141"/>
      <c r="V6" s="141"/>
      <c r="W6" s="141"/>
      <c r="X6" s="142"/>
      <c r="Y6" s="141"/>
      <c r="Z6" s="141"/>
      <c r="AA6" s="1" t="s">
        <v>25</v>
      </c>
      <c r="AB6" s="49" t="str">
        <f>HYPERLINK("#","👇")</f>
        <v>👇</v>
      </c>
      <c r="AC6" s="49" t="str">
        <f>HYPERLINK("#","👆")</f>
        <v>👆</v>
      </c>
      <c r="AD6" s="50" t="str">
        <f>HYPERLINK("#","🗑️")</f>
        <v>🗑️</v>
      </c>
      <c r="AE6" s="51" t="str">
        <f>HYPERLINK("#","📁")</f>
        <v>📁</v>
      </c>
    </row>
    <row r="7" spans="1:31" ht="165" x14ac:dyDescent="0.2">
      <c r="A7" s="138"/>
      <c r="B7" s="6"/>
      <c r="C7" s="2">
        <v>46055</v>
      </c>
      <c r="D7" s="5" t="s">
        <v>461</v>
      </c>
      <c r="E7" s="1" t="s">
        <v>10</v>
      </c>
      <c r="G7" s="1" t="s">
        <v>462</v>
      </c>
      <c r="I7" s="57"/>
      <c r="J7" s="58" t="str">
        <f t="shared" ref="J7" si="0">"Hello, please can you send images/estimate for "&amp;D7&amp;" ("&amp;G7&amp;")? Client name is "&amp;F7&amp;". Thank you"</f>
        <v>Hello, please can you send images/estimate for MW10 NYC (Vauxhall Corsa)? Client name is . Thank you</v>
      </c>
      <c r="K7" s="51" t="str">
        <f t="shared" ref="K7" si="1">HYPERLINK("#","📁")</f>
        <v>📁</v>
      </c>
      <c r="L7" s="59" t="s">
        <v>463</v>
      </c>
      <c r="M7" s="87" t="s">
        <v>536</v>
      </c>
      <c r="N7" s="49" t="str">
        <f t="shared" ref="N7" si="2">HYPERLINK("#","👇")</f>
        <v>👇</v>
      </c>
      <c r="O7" s="52"/>
      <c r="P7" s="138"/>
      <c r="Q7" s="138"/>
      <c r="R7" s="138"/>
      <c r="S7" s="141"/>
      <c r="T7" s="141"/>
      <c r="U7" s="141"/>
      <c r="V7" s="141"/>
      <c r="W7" s="141"/>
      <c r="X7" s="142"/>
      <c r="Y7" s="141"/>
      <c r="Z7" s="141"/>
    </row>
    <row r="8" spans="1:31" ht="30" x14ac:dyDescent="0.2">
      <c r="A8" s="138"/>
      <c r="B8" s="72"/>
      <c r="C8" s="2">
        <v>46101</v>
      </c>
      <c r="D8" s="33" t="s">
        <v>464</v>
      </c>
      <c r="E8" s="1" t="s">
        <v>17</v>
      </c>
      <c r="F8" s="33"/>
      <c r="G8" s="33"/>
      <c r="I8" s="9"/>
      <c r="J8" s="10" t="str">
        <f t="shared" ref="J8" si="3">"Hello, please can you send images/estimate for "&amp;D8&amp;" ("&amp;G8&amp;")? Client name is "&amp;F8&amp;". Thank you"</f>
        <v>Hello, please can you send images/estimate for YG75 BNB ()? Client name is . Thank you</v>
      </c>
      <c r="K8" s="51" t="str">
        <f t="shared" ref="K8" si="4">HYPERLINK("#","📁")</f>
        <v>📁</v>
      </c>
      <c r="L8" s="46"/>
      <c r="M8" s="87" t="s">
        <v>487</v>
      </c>
      <c r="N8" s="49" t="str">
        <f t="shared" ref="N8" si="5">HYPERLINK("#","👇")</f>
        <v>👇</v>
      </c>
      <c r="O8" s="73"/>
      <c r="P8" s="138"/>
      <c r="Q8" s="138"/>
      <c r="R8" s="138"/>
      <c r="S8" s="141"/>
      <c r="T8" s="141"/>
      <c r="U8" s="141"/>
      <c r="V8" s="141"/>
      <c r="W8" s="141"/>
      <c r="X8" s="142"/>
      <c r="Y8" s="141"/>
      <c r="Z8" s="141"/>
    </row>
    <row r="9" spans="1:31" ht="30" x14ac:dyDescent="0.2">
      <c r="A9" s="138"/>
      <c r="B9" s="72"/>
      <c r="C9" s="2">
        <v>46106</v>
      </c>
      <c r="D9" s="33"/>
      <c r="F9" s="33" t="s">
        <v>465</v>
      </c>
      <c r="G9" s="33"/>
      <c r="H9" s="1" t="s">
        <v>466</v>
      </c>
      <c r="I9" s="9"/>
      <c r="J9" s="10" t="str">
        <f t="shared" ref="J9" si="6">"Hello, please can you send images/estimate for "&amp;D9&amp;" ("&amp;G9&amp;")? Client name is "&amp;F9&amp;". Thank you"</f>
        <v>Hello, please can you send images/estimate for  ()? Client name is Shakib Ali. Thank you</v>
      </c>
      <c r="K9" s="53" t="str">
        <f t="shared" ref="K9" si="7">HYPERLINK("#","📁")</f>
        <v>📁</v>
      </c>
      <c r="L9" s="46"/>
      <c r="M9" s="87" t="s">
        <v>482</v>
      </c>
      <c r="N9" s="54"/>
      <c r="O9" s="73"/>
      <c r="P9" s="138"/>
      <c r="Q9" s="138"/>
      <c r="R9" s="138"/>
      <c r="S9" s="141"/>
      <c r="T9" s="141"/>
      <c r="U9" s="141"/>
      <c r="V9" s="141"/>
      <c r="W9" s="141"/>
      <c r="X9" s="142"/>
      <c r="Y9" s="141"/>
      <c r="Z9" s="141"/>
    </row>
    <row r="10" spans="1:31" ht="30" x14ac:dyDescent="0.2">
      <c r="A10" s="138"/>
      <c r="B10" s="72"/>
      <c r="C10" s="2">
        <v>46107</v>
      </c>
      <c r="D10" s="33" t="s">
        <v>467</v>
      </c>
      <c r="F10" s="33"/>
      <c r="G10" s="33" t="s">
        <v>468</v>
      </c>
      <c r="H10" s="1" t="s">
        <v>459</v>
      </c>
      <c r="I10" s="9"/>
      <c r="J10" s="10" t="str">
        <f t="shared" ref="J10" si="8">"Hello, please can you send images/estimate for "&amp;D10&amp;" ("&amp;G10&amp;")? Client name is "&amp;F10&amp;". Thank you"</f>
        <v>Hello, please can you send images/estimate for LG63WPV (Mercedes Vito)? Client name is . Thank you</v>
      </c>
      <c r="K10" s="53" t="str">
        <f t="shared" ref="K10" si="9">HYPERLINK("#","📁")</f>
        <v>📁</v>
      </c>
      <c r="L10" s="59" t="s">
        <v>469</v>
      </c>
      <c r="M10" s="87" t="s">
        <v>483</v>
      </c>
      <c r="N10" s="54" t="str">
        <f t="shared" ref="N10" si="10">HYPERLINK("#","👇")</f>
        <v>👇</v>
      </c>
      <c r="O10" s="73"/>
      <c r="P10" s="138"/>
      <c r="Q10" s="138"/>
      <c r="R10" s="138"/>
      <c r="S10" s="141"/>
      <c r="T10" s="141"/>
      <c r="U10" s="141"/>
      <c r="V10" s="141"/>
      <c r="W10" s="141"/>
      <c r="X10" s="142"/>
      <c r="Y10" s="141"/>
      <c r="Z10" s="141"/>
    </row>
    <row r="11" spans="1:31" ht="60" x14ac:dyDescent="0.2">
      <c r="A11" s="138"/>
      <c r="B11" s="72"/>
      <c r="C11" s="75">
        <v>46111</v>
      </c>
      <c r="D11" s="33" t="s">
        <v>470</v>
      </c>
      <c r="E11" s="82" t="s">
        <v>107</v>
      </c>
      <c r="F11" s="77" t="s">
        <v>471</v>
      </c>
      <c r="G11" s="81" t="s">
        <v>472</v>
      </c>
      <c r="H11" s="82" t="s">
        <v>457</v>
      </c>
      <c r="I11" s="78"/>
      <c r="J11" s="74" t="str">
        <f t="shared" ref="J11" si="11">"Hello, please can you send images/estimate for "&amp;D11&amp;" ("&amp;G11&amp;")? Client name is "&amp;F11&amp;". Thank you"</f>
        <v>Hello, please can you send images/estimate for YE12SSU (Peugeot 207)? Client name is Mathew Olusegun Adekoya                            . Thank you</v>
      </c>
      <c r="K11" s="53" t="str">
        <f t="shared" ref="K11" si="12">HYPERLINK("#","📁")</f>
        <v>📁</v>
      </c>
      <c r="L11" s="46"/>
      <c r="M11" s="87" t="s">
        <v>527</v>
      </c>
      <c r="N11" s="54" t="str">
        <f t="shared" ref="N11" si="13">HYPERLINK("#","👇")</f>
        <v>👇</v>
      </c>
      <c r="O11" s="73"/>
      <c r="P11" s="138"/>
      <c r="Q11" s="138"/>
      <c r="R11" s="138"/>
      <c r="S11" s="141"/>
      <c r="T11" s="141"/>
      <c r="U11" s="141"/>
      <c r="V11" s="141"/>
      <c r="W11" s="141"/>
      <c r="X11" s="142"/>
      <c r="Y11" s="141"/>
      <c r="Z11" s="141"/>
    </row>
    <row r="12" spans="1:31" ht="30" x14ac:dyDescent="0.2">
      <c r="A12" s="138"/>
      <c r="B12" s="72"/>
      <c r="C12" s="75">
        <v>46112</v>
      </c>
      <c r="D12" s="81" t="s">
        <v>473</v>
      </c>
      <c r="E12" s="77" t="s">
        <v>8</v>
      </c>
      <c r="F12" s="77" t="s">
        <v>474</v>
      </c>
      <c r="G12" s="79"/>
      <c r="H12" s="77" t="s">
        <v>459</v>
      </c>
      <c r="I12" s="78"/>
      <c r="J12" s="74" t="str">
        <f t="shared" ref="J12" si="14">"Hello, please can you send images/estimate for "&amp;D12&amp;" ("&amp;G12&amp;")? Client name is "&amp;F12&amp;". Thank you"</f>
        <v>Hello, please can you send images/estimate for SE24NFL ()? Client name is Liam McElwee. Thank you</v>
      </c>
      <c r="K12" s="53" t="str">
        <f t="shared" ref="K12" si="15">HYPERLINK("#","📁")</f>
        <v>📁</v>
      </c>
      <c r="L12" s="46"/>
      <c r="M12" s="87" t="s">
        <v>526</v>
      </c>
      <c r="N12" s="54" t="str">
        <f t="shared" ref="N12" si="16">HYPERLINK("#","👇")</f>
        <v>👇</v>
      </c>
      <c r="O12" s="73"/>
      <c r="P12" s="138"/>
      <c r="Q12" s="138"/>
      <c r="R12" s="138"/>
      <c r="S12" s="141"/>
      <c r="T12" s="141"/>
      <c r="U12" s="141"/>
      <c r="V12" s="141"/>
      <c r="W12" s="141"/>
      <c r="X12" s="142"/>
      <c r="Y12" s="141"/>
      <c r="Z12" s="141"/>
    </row>
    <row r="13" spans="1:31" ht="16.5" x14ac:dyDescent="0.2">
      <c r="A13" s="138"/>
      <c r="B13" s="72"/>
      <c r="C13" s="80">
        <v>46119</v>
      </c>
      <c r="D13" s="81" t="s">
        <v>478</v>
      </c>
      <c r="E13" s="77"/>
      <c r="F13" s="77"/>
      <c r="G13" s="77" t="s">
        <v>475</v>
      </c>
      <c r="H13" s="77" t="s">
        <v>476</v>
      </c>
      <c r="I13" s="78"/>
      <c r="J13" s="74" t="str">
        <f t="shared" ref="J13:J15" si="17">"Hello, please can you send images/estimate for "&amp;D13&amp;" ("&amp;G13&amp;")? Client name is "&amp;F13&amp;". Thank you"</f>
        <v>Hello, please can you send images/estimate for RY08 OYD (BMW 3 series )? Client name is . Thank you</v>
      </c>
      <c r="K13" s="53" t="str">
        <f t="shared" ref="K13:K15" si="18">HYPERLINK("#","📁")</f>
        <v>📁</v>
      </c>
      <c r="L13" s="46"/>
      <c r="M13" s="87" t="s">
        <v>477</v>
      </c>
      <c r="N13" s="54" t="str">
        <f t="shared" ref="N13:N15" si="19">HYPERLINK("#","👇")</f>
        <v>👇</v>
      </c>
      <c r="O13" s="73"/>
      <c r="P13" s="138"/>
      <c r="Q13" s="138"/>
      <c r="R13" s="138"/>
      <c r="S13" s="141"/>
      <c r="T13" s="141"/>
      <c r="U13" s="141"/>
      <c r="V13" s="141"/>
      <c r="W13" s="141"/>
      <c r="X13" s="142"/>
      <c r="Y13" s="141"/>
      <c r="Z13" s="141"/>
    </row>
    <row r="14" spans="1:31" ht="45" x14ac:dyDescent="0.2">
      <c r="A14" s="138"/>
      <c r="B14" s="72"/>
      <c r="C14" s="80">
        <v>46119</v>
      </c>
      <c r="D14" s="81" t="s">
        <v>479</v>
      </c>
      <c r="E14" s="77" t="s">
        <v>107</v>
      </c>
      <c r="F14" s="77"/>
      <c r="G14" s="77" t="s">
        <v>480</v>
      </c>
      <c r="H14" s="77" t="s">
        <v>460</v>
      </c>
      <c r="I14" s="78"/>
      <c r="J14" s="74" t="str">
        <f t="shared" si="17"/>
        <v>Hello, please can you send images/estimate for SH18 VMO (Vauxhall Zafira)? Client name is . Thank you</v>
      </c>
      <c r="K14" s="53" t="str">
        <f t="shared" si="18"/>
        <v>📁</v>
      </c>
      <c r="L14" s="46" t="s">
        <v>481</v>
      </c>
      <c r="M14" s="87" t="s">
        <v>525</v>
      </c>
      <c r="N14" s="54" t="str">
        <f t="shared" si="19"/>
        <v>👇</v>
      </c>
      <c r="O14" s="73"/>
      <c r="P14" s="138"/>
      <c r="Q14" s="138"/>
      <c r="R14" s="138"/>
      <c r="S14" s="141"/>
      <c r="T14" s="141"/>
      <c r="U14" s="141"/>
      <c r="V14" s="141"/>
      <c r="W14" s="141"/>
      <c r="X14" s="142"/>
      <c r="Y14" s="141"/>
      <c r="Z14" s="141"/>
    </row>
    <row r="15" spans="1:31" ht="45" x14ac:dyDescent="0.2">
      <c r="A15" s="138"/>
      <c r="B15" s="72"/>
      <c r="C15" s="2">
        <v>46120</v>
      </c>
      <c r="D15" s="39" t="s">
        <v>484</v>
      </c>
      <c r="E15" s="84" t="s">
        <v>8</v>
      </c>
      <c r="F15" s="39" t="s">
        <v>485</v>
      </c>
      <c r="G15" s="39" t="s">
        <v>486</v>
      </c>
      <c r="H15" s="84"/>
      <c r="I15" s="9"/>
      <c r="J15" s="10" t="str">
        <f t="shared" si="17"/>
        <v>Hello, please can you send images/estimate for AV17 LYN (Volkswagen Golf)? Client name is Riccardo Joubert. Thank you</v>
      </c>
      <c r="K15" s="53" t="str">
        <f t="shared" si="18"/>
        <v>📁</v>
      </c>
      <c r="L15" s="85"/>
      <c r="M15" s="87" t="s">
        <v>513</v>
      </c>
      <c r="N15" s="54" t="str">
        <f t="shared" si="19"/>
        <v>👇</v>
      </c>
      <c r="O15" s="73"/>
      <c r="P15" s="138"/>
      <c r="Q15" s="138"/>
      <c r="R15" s="138"/>
      <c r="S15" s="141"/>
      <c r="T15" s="141"/>
      <c r="U15" s="141"/>
      <c r="V15" s="141"/>
      <c r="W15" s="141"/>
      <c r="X15" s="142"/>
      <c r="Y15" s="141"/>
      <c r="Z15" s="141"/>
    </row>
    <row r="16" spans="1:31" ht="30" x14ac:dyDescent="0.2">
      <c r="A16" s="138"/>
      <c r="B16" s="72"/>
      <c r="C16" s="2">
        <v>46125</v>
      </c>
      <c r="D16" s="39" t="s">
        <v>490</v>
      </c>
      <c r="E16" s="84" t="s">
        <v>10</v>
      </c>
      <c r="F16" s="39"/>
      <c r="G16" s="39" t="s">
        <v>491</v>
      </c>
      <c r="H16" s="84" t="s">
        <v>460</v>
      </c>
      <c r="I16" s="9"/>
      <c r="J16" s="10" t="str">
        <f t="shared" ref="J16:J17" si="20">"Hello, please can you send images/estimate for "&amp;D16&amp;" ("&amp;G16&amp;")? Client name is "&amp;F16&amp;". Thank you"</f>
        <v>Hello, please can you send images/estimate for OV72 AHK (Mercedes CLA)? Client name is . Thank you</v>
      </c>
      <c r="K16" s="53" t="str">
        <f t="shared" ref="K16:K17" si="21">HYPERLINK("#","📁")</f>
        <v>📁</v>
      </c>
      <c r="L16" s="85" t="s">
        <v>492</v>
      </c>
      <c r="M16" s="87" t="s">
        <v>537</v>
      </c>
      <c r="N16" s="54" t="str">
        <f t="shared" ref="N16:N17" si="22">HYPERLINK("#","👇")</f>
        <v>👇</v>
      </c>
      <c r="O16" s="73"/>
      <c r="P16" s="138"/>
      <c r="Q16" s="138"/>
      <c r="R16" s="138"/>
      <c r="S16" s="141"/>
      <c r="T16" s="141"/>
      <c r="U16" s="141"/>
      <c r="V16" s="141"/>
      <c r="W16" s="141"/>
      <c r="X16" s="142"/>
      <c r="Y16" s="141"/>
      <c r="Z16" s="141"/>
    </row>
    <row r="17" spans="1:26" ht="30" x14ac:dyDescent="0.2">
      <c r="A17" s="138"/>
      <c r="B17" s="72"/>
      <c r="C17" s="2">
        <v>46126</v>
      </c>
      <c r="D17" s="39" t="s">
        <v>493</v>
      </c>
      <c r="E17" s="84" t="s">
        <v>8</v>
      </c>
      <c r="F17" s="39" t="s">
        <v>494</v>
      </c>
      <c r="G17" s="39" t="s">
        <v>495</v>
      </c>
      <c r="H17" s="84"/>
      <c r="I17" s="9"/>
      <c r="J17" s="10" t="str">
        <f t="shared" si="20"/>
        <v>Hello, please can you send images/estimate for SW15 HPJ (Volkswagen Caddy)? Client name is Jade Young. Thank you</v>
      </c>
      <c r="K17" s="53" t="str">
        <f t="shared" si="21"/>
        <v>📁</v>
      </c>
      <c r="L17" s="85"/>
      <c r="M17" s="87" t="s">
        <v>512</v>
      </c>
      <c r="N17" s="54" t="str">
        <f t="shared" si="22"/>
        <v>👇</v>
      </c>
      <c r="O17" s="73"/>
      <c r="P17" s="138"/>
      <c r="Q17" s="138"/>
      <c r="R17" s="138"/>
      <c r="S17" s="141"/>
      <c r="T17" s="141"/>
      <c r="U17" s="141"/>
      <c r="V17" s="141"/>
      <c r="W17" s="141"/>
      <c r="X17" s="142"/>
      <c r="Y17" s="141"/>
      <c r="Z17" s="141"/>
    </row>
    <row r="18" spans="1:26" ht="30" x14ac:dyDescent="0.2">
      <c r="A18" s="138"/>
      <c r="B18" s="72"/>
      <c r="C18" s="2">
        <v>46128</v>
      </c>
      <c r="D18" s="39" t="s">
        <v>497</v>
      </c>
      <c r="E18" s="84" t="s">
        <v>17</v>
      </c>
      <c r="F18" s="39" t="s">
        <v>498</v>
      </c>
      <c r="G18" s="39" t="s">
        <v>499</v>
      </c>
      <c r="H18" s="84" t="s">
        <v>457</v>
      </c>
      <c r="I18" s="9"/>
      <c r="J18" s="10" t="str">
        <f t="shared" ref="J18" si="23">"Hello, please can you send images/estimate for "&amp;D18&amp;" ("&amp;G18&amp;")? Client name is "&amp;F18&amp;". Thank you"</f>
        <v>Hello, please can you send images/estimate for Y22 EMD (Ford Fiesta Zetec)? Client name is Mrs Ellie Davidson. Thank you</v>
      </c>
      <c r="K18" s="53" t="str">
        <f t="shared" ref="K18" si="24">HYPERLINK("#","📁")</f>
        <v>📁</v>
      </c>
      <c r="L18" s="85"/>
      <c r="M18" s="87" t="s">
        <v>509</v>
      </c>
      <c r="N18" s="54" t="str">
        <f t="shared" ref="N18" si="25">HYPERLINK("#","👇")</f>
        <v>👇</v>
      </c>
      <c r="O18" s="73"/>
      <c r="P18" s="138"/>
      <c r="Q18" s="138"/>
      <c r="R18" s="138"/>
      <c r="S18" s="141"/>
      <c r="T18" s="141"/>
      <c r="U18" s="141"/>
      <c r="V18" s="141"/>
      <c r="W18" s="141"/>
      <c r="X18" s="142"/>
      <c r="Y18" s="141"/>
      <c r="Z18" s="141"/>
    </row>
    <row r="19" spans="1:26" ht="16.5" x14ac:dyDescent="0.2">
      <c r="A19" s="138"/>
      <c r="B19" s="72"/>
      <c r="C19" s="2">
        <v>46132</v>
      </c>
      <c r="D19" s="39" t="s">
        <v>501</v>
      </c>
      <c r="E19" s="84"/>
      <c r="F19" s="39"/>
      <c r="G19" s="39" t="s">
        <v>502</v>
      </c>
      <c r="H19" s="84" t="s">
        <v>476</v>
      </c>
      <c r="I19" s="9"/>
      <c r="J19" s="10" t="str">
        <f t="shared" ref="J19" si="26">"Hello, please can you send images/estimate for "&amp;D19&amp;" ("&amp;G19&amp;")? Client name is "&amp;F19&amp;". Thank you"</f>
        <v>Hello, please can you send images/estimate for MJ56HVV (Renault Trafic)? Client name is . Thank you</v>
      </c>
      <c r="K19" s="53" t="str">
        <f t="shared" ref="K19" si="27">HYPERLINK("#","📁")</f>
        <v>📁</v>
      </c>
      <c r="L19" s="85"/>
      <c r="M19" s="87" t="s">
        <v>503</v>
      </c>
      <c r="N19" s="54" t="str">
        <f t="shared" ref="N19" si="28">HYPERLINK("#","👇")</f>
        <v>👇</v>
      </c>
      <c r="O19" s="73"/>
      <c r="P19" s="138"/>
      <c r="Q19" s="138"/>
      <c r="R19" s="138"/>
      <c r="S19" s="141"/>
      <c r="T19" s="141"/>
      <c r="U19" s="141"/>
      <c r="V19" s="141"/>
      <c r="W19" s="141"/>
      <c r="X19" s="142"/>
      <c r="Y19" s="141"/>
      <c r="Z19" s="141"/>
    </row>
    <row r="20" spans="1:26" ht="16.5" x14ac:dyDescent="0.2">
      <c r="A20" s="138"/>
      <c r="B20" s="72"/>
      <c r="C20" s="2">
        <v>46132</v>
      </c>
      <c r="D20" s="39" t="s">
        <v>505</v>
      </c>
      <c r="E20" s="84" t="s">
        <v>10</v>
      </c>
      <c r="F20" s="39"/>
      <c r="G20" s="39" t="s">
        <v>16</v>
      </c>
      <c r="H20" s="84" t="s">
        <v>460</v>
      </c>
      <c r="I20" s="9"/>
      <c r="J20" s="10" t="str">
        <f t="shared" ref="J20" si="29">"Hello, please can you send images/estimate for "&amp;D20&amp;" ("&amp;G20&amp;")? Client name is "&amp;F20&amp;". Thank you"</f>
        <v>Hello, please can you send images/estimate for YE18 LJB (Toyota Prius)? Client name is . Thank you</v>
      </c>
      <c r="K20" s="53" t="str">
        <f t="shared" ref="K20" si="30">HYPERLINK("#","📁")</f>
        <v>📁</v>
      </c>
      <c r="L20" s="85" t="s">
        <v>506</v>
      </c>
      <c r="M20" s="87" t="s">
        <v>507</v>
      </c>
      <c r="N20" s="54" t="str">
        <f t="shared" ref="N20" si="31">HYPERLINK("#","👇")</f>
        <v>👇</v>
      </c>
      <c r="O20" s="73"/>
      <c r="P20" s="138"/>
      <c r="Q20" s="138"/>
      <c r="R20" s="138"/>
      <c r="S20" s="141"/>
      <c r="T20" s="141"/>
      <c r="U20" s="141"/>
      <c r="V20" s="141"/>
      <c r="W20" s="141"/>
      <c r="X20" s="142"/>
      <c r="Y20" s="141"/>
      <c r="Z20" s="141"/>
    </row>
    <row r="21" spans="1:26" ht="16.5" x14ac:dyDescent="0.2">
      <c r="A21" s="138"/>
      <c r="B21" s="72"/>
      <c r="C21" s="2">
        <v>46134</v>
      </c>
      <c r="D21" s="39" t="s">
        <v>514</v>
      </c>
      <c r="E21" s="84" t="s">
        <v>17</v>
      </c>
      <c r="F21" s="39" t="s">
        <v>515</v>
      </c>
      <c r="G21" s="39" t="s">
        <v>510</v>
      </c>
      <c r="H21" s="84" t="s">
        <v>504</v>
      </c>
      <c r="I21" s="9"/>
      <c r="J21" s="10" t="str">
        <f t="shared" ref="J21" si="32">"Hello, please can you send images/estimate for "&amp;D21&amp;" ("&amp;G21&amp;")? Client name is "&amp;F21&amp;". Thank you"</f>
        <v>Hello, please can you send images/estimate for YG18 HEH (Ford Fiesta)? Client name is Mary Hignett. Thank you</v>
      </c>
      <c r="K21" s="53" t="str">
        <f t="shared" ref="K21" si="33">HYPERLINK("#","📁")</f>
        <v>📁</v>
      </c>
      <c r="L21" s="85"/>
      <c r="M21" s="87" t="s">
        <v>516</v>
      </c>
      <c r="N21" s="54" t="str">
        <f>HYPERLINK("#","👇")</f>
        <v>👇</v>
      </c>
      <c r="O21" s="73"/>
      <c r="P21" s="138"/>
      <c r="Q21" s="138"/>
      <c r="R21" s="138"/>
      <c r="S21" s="141"/>
      <c r="T21" s="141"/>
      <c r="U21" s="141"/>
      <c r="V21" s="141"/>
      <c r="W21" s="141"/>
      <c r="X21" s="142"/>
      <c r="Y21" s="141"/>
      <c r="Z21" s="141"/>
    </row>
    <row r="22" spans="1:26" ht="45" x14ac:dyDescent="0.2">
      <c r="A22" s="138"/>
      <c r="B22" s="72"/>
      <c r="C22" s="2">
        <v>46135</v>
      </c>
      <c r="D22" s="39" t="s">
        <v>518</v>
      </c>
      <c r="E22" s="84" t="s">
        <v>15</v>
      </c>
      <c r="F22" s="39" t="s">
        <v>519</v>
      </c>
      <c r="G22" s="39" t="s">
        <v>520</v>
      </c>
      <c r="H22" s="84" t="s">
        <v>457</v>
      </c>
      <c r="I22" s="9"/>
      <c r="J22" s="10" t="str">
        <f t="shared" ref="J22:J24" si="34">"Hello, please can you send images/estimate for "&amp;D22&amp;" ("&amp;G22&amp;")? Client name is "&amp;F22&amp;". Thank you"</f>
        <v>Hello, please can you send images/estimate for GV10HMJ (Toyota)? Client name is Zara Latif. Thank you</v>
      </c>
      <c r="K22" s="53" t="str">
        <f t="shared" ref="K22:K24" si="35">HYPERLINK("#","📁")</f>
        <v>📁</v>
      </c>
      <c r="L22" s="85"/>
      <c r="M22" s="88" t="s">
        <v>559</v>
      </c>
      <c r="N22" s="54" t="str">
        <f t="shared" ref="N22:N24" si="36">HYPERLINK("#","👇")</f>
        <v>👇</v>
      </c>
      <c r="O22" s="73"/>
      <c r="P22" s="138"/>
      <c r="Q22" s="138"/>
      <c r="R22" s="138"/>
      <c r="S22" s="141"/>
      <c r="T22" s="141"/>
      <c r="U22" s="141"/>
      <c r="V22" s="141"/>
      <c r="W22" s="141"/>
      <c r="X22" s="142"/>
      <c r="Y22" s="141"/>
      <c r="Z22" s="141"/>
    </row>
    <row r="23" spans="1:26" ht="45" x14ac:dyDescent="0.2">
      <c r="A23" s="138"/>
      <c r="B23" s="72"/>
      <c r="C23" s="2">
        <v>46135</v>
      </c>
      <c r="D23" s="39" t="s">
        <v>521</v>
      </c>
      <c r="E23" s="84" t="s">
        <v>17</v>
      </c>
      <c r="F23" s="39" t="s">
        <v>522</v>
      </c>
      <c r="G23" s="39" t="s">
        <v>523</v>
      </c>
      <c r="H23" s="84" t="s">
        <v>524</v>
      </c>
      <c r="I23" s="9"/>
      <c r="J23" s="10" t="str">
        <f t="shared" si="34"/>
        <v>Hello, please can you send images/estimate for LP19 CNO (Mercedes A200)? Client name is Hassan Shah. Thank you</v>
      </c>
      <c r="K23" s="53" t="str">
        <f t="shared" si="35"/>
        <v>📁</v>
      </c>
      <c r="L23" s="85"/>
      <c r="M23" s="88" t="s">
        <v>661</v>
      </c>
      <c r="N23" s="54" t="str">
        <f t="shared" si="36"/>
        <v>👇</v>
      </c>
      <c r="O23" s="73"/>
      <c r="P23" s="138"/>
      <c r="Q23" s="138"/>
      <c r="R23" s="138"/>
      <c r="S23" s="141"/>
      <c r="T23" s="141"/>
      <c r="U23" s="141"/>
      <c r="V23" s="141"/>
      <c r="W23" s="141"/>
      <c r="X23" s="142"/>
      <c r="Y23" s="141"/>
      <c r="Z23" s="141"/>
    </row>
    <row r="24" spans="1:26" ht="16.5" x14ac:dyDescent="0.2">
      <c r="A24" s="138"/>
      <c r="B24" s="72"/>
      <c r="C24" s="2">
        <v>46135</v>
      </c>
      <c r="D24" s="39" t="s">
        <v>528</v>
      </c>
      <c r="E24" s="84" t="s">
        <v>130</v>
      </c>
      <c r="F24" s="39" t="s">
        <v>529</v>
      </c>
      <c r="G24" s="39" t="s">
        <v>489</v>
      </c>
      <c r="H24" s="84" t="s">
        <v>457</v>
      </c>
      <c r="I24" s="9"/>
      <c r="J24" s="10" t="str">
        <f t="shared" si="34"/>
        <v>Hello, please can you send images/estimate for FD65OAA (Toyota Auris)? Client name is Shakir Ahmed. Thank you</v>
      </c>
      <c r="K24" s="53" t="str">
        <f t="shared" si="35"/>
        <v>📁</v>
      </c>
      <c r="L24" s="85"/>
      <c r="M24" s="87" t="s">
        <v>530</v>
      </c>
      <c r="N24" s="54" t="str">
        <f t="shared" si="36"/>
        <v>👇</v>
      </c>
      <c r="O24" s="73"/>
      <c r="P24" s="138"/>
      <c r="Q24" s="138"/>
      <c r="R24" s="138"/>
      <c r="S24" s="141"/>
      <c r="T24" s="141"/>
      <c r="U24" s="141"/>
      <c r="V24" s="141"/>
      <c r="W24" s="141"/>
      <c r="X24" s="142"/>
      <c r="Y24" s="141"/>
      <c r="Z24" s="141"/>
    </row>
    <row r="25" spans="1:26" ht="16.5" x14ac:dyDescent="0.2">
      <c r="A25" s="138"/>
      <c r="B25" s="72"/>
      <c r="C25" s="2">
        <v>46136</v>
      </c>
      <c r="D25" s="39" t="s">
        <v>533</v>
      </c>
      <c r="E25" s="84" t="s">
        <v>20</v>
      </c>
      <c r="F25" s="39" t="s">
        <v>534</v>
      </c>
      <c r="G25" s="39" t="s">
        <v>508</v>
      </c>
      <c r="H25" s="84" t="s">
        <v>457</v>
      </c>
      <c r="I25" s="9"/>
      <c r="J25" s="10" t="str">
        <f t="shared" ref="J25:J29" si="37">"Hello, please can you send images/estimate for "&amp;D25&amp;" ("&amp;G25&amp;")? Client name is "&amp;F25&amp;". Thank you"</f>
        <v>Hello, please can you send images/estimate for P11SHT (BMW 2 Series)? Client name is Amani Sarwar. Thank you</v>
      </c>
      <c r="K25" s="53" t="str">
        <f t="shared" ref="K25:K31" si="38">HYPERLINK("#","📁")</f>
        <v>📁</v>
      </c>
      <c r="L25" s="85"/>
      <c r="M25" s="87" t="s">
        <v>535</v>
      </c>
      <c r="N25" s="54" t="str">
        <f t="shared" ref="N25:N31" si="39">HYPERLINK("#","👇")</f>
        <v>👇</v>
      </c>
      <c r="O25" s="73"/>
      <c r="P25" s="138"/>
      <c r="Q25" s="138"/>
      <c r="R25" s="138"/>
      <c r="S25" s="141"/>
      <c r="T25" s="141"/>
      <c r="U25" s="141"/>
      <c r="V25" s="141"/>
      <c r="W25" s="141"/>
      <c r="X25" s="142"/>
      <c r="Y25" s="141"/>
      <c r="Z25" s="141"/>
    </row>
    <row r="26" spans="1:26" ht="30" x14ac:dyDescent="0.2">
      <c r="A26" s="138"/>
      <c r="B26" s="72"/>
      <c r="C26" s="2">
        <v>46136</v>
      </c>
      <c r="D26" s="39" t="s">
        <v>538</v>
      </c>
      <c r="E26" s="84" t="s">
        <v>17</v>
      </c>
      <c r="F26" s="39"/>
      <c r="G26" s="39" t="s">
        <v>539</v>
      </c>
      <c r="H26" s="84" t="s">
        <v>457</v>
      </c>
      <c r="I26" s="9"/>
      <c r="J26" s="10" t="str">
        <f>"Hello, please can you send images/estimate for "&amp;D26&amp;" ("&amp;G26&amp;")? Client name is "&amp;F26&amp;". Thank you"</f>
        <v>Hello, please can you send images/estimate for BO55 HPT (Man TGX)? Client name is . Thank you</v>
      </c>
      <c r="K26" s="53" t="str">
        <f t="shared" si="38"/>
        <v>📁</v>
      </c>
      <c r="L26" s="85"/>
      <c r="M26" s="88" t="s">
        <v>647</v>
      </c>
      <c r="N26" s="54" t="str">
        <f t="shared" si="39"/>
        <v>👇</v>
      </c>
      <c r="O26" s="73"/>
      <c r="P26" s="138"/>
      <c r="Q26" s="138"/>
      <c r="R26" s="138"/>
      <c r="S26" s="141"/>
      <c r="T26" s="141"/>
      <c r="U26" s="141"/>
      <c r="V26" s="141"/>
      <c r="W26" s="141"/>
      <c r="X26" s="142"/>
      <c r="Y26" s="141"/>
      <c r="Z26" s="141"/>
    </row>
    <row r="27" spans="1:26" ht="30" x14ac:dyDescent="0.2">
      <c r="A27" s="138"/>
      <c r="B27" s="72"/>
      <c r="C27" s="2">
        <v>46136</v>
      </c>
      <c r="D27" s="39" t="s">
        <v>540</v>
      </c>
      <c r="E27" s="84" t="s">
        <v>20</v>
      </c>
      <c r="F27" s="39" t="s">
        <v>541</v>
      </c>
      <c r="G27" s="39" t="s">
        <v>542</v>
      </c>
      <c r="H27" s="84" t="s">
        <v>457</v>
      </c>
      <c r="I27" s="9"/>
      <c r="J27" s="10" t="str">
        <f t="shared" si="37"/>
        <v>Hello, please can you send images/estimate for SN66TZD (Dacia Sandero)? Client name is Agnieszka Phillipson. Thank you</v>
      </c>
      <c r="K27" s="53" t="str">
        <f t="shared" si="38"/>
        <v>📁</v>
      </c>
      <c r="L27" s="85"/>
      <c r="M27" s="88" t="s">
        <v>557</v>
      </c>
      <c r="N27" s="54" t="str">
        <f t="shared" si="39"/>
        <v>👇</v>
      </c>
      <c r="O27" s="73"/>
      <c r="P27" s="138"/>
      <c r="Q27" s="138"/>
      <c r="R27" s="138"/>
      <c r="S27" s="141"/>
      <c r="T27" s="141"/>
      <c r="U27" s="141"/>
      <c r="V27" s="141"/>
      <c r="W27" s="141"/>
      <c r="X27" s="142"/>
      <c r="Y27" s="141"/>
      <c r="Z27" s="141"/>
    </row>
    <row r="28" spans="1:26" ht="16.5" x14ac:dyDescent="0.2">
      <c r="A28" s="138"/>
      <c r="B28" s="72"/>
      <c r="C28" s="2">
        <v>46136</v>
      </c>
      <c r="D28" s="39" t="s">
        <v>543</v>
      </c>
      <c r="E28" s="84" t="s">
        <v>17</v>
      </c>
      <c r="F28" s="39" t="s">
        <v>544</v>
      </c>
      <c r="G28" s="39" t="s">
        <v>545</v>
      </c>
      <c r="H28" s="84" t="s">
        <v>457</v>
      </c>
      <c r="I28" s="9"/>
      <c r="J28" s="10" t="str">
        <f t="shared" si="37"/>
        <v>Hello, please can you send images/estimate for HX21 RMV (Ford Transit)? Client name is Ivo Petrov. Thank you</v>
      </c>
      <c r="K28" s="53" t="str">
        <f t="shared" si="38"/>
        <v>📁</v>
      </c>
      <c r="L28" s="85"/>
      <c r="M28" s="87" t="s">
        <v>546</v>
      </c>
      <c r="N28" s="54" t="str">
        <f t="shared" si="39"/>
        <v>👇</v>
      </c>
      <c r="O28" s="73"/>
      <c r="P28" s="138"/>
      <c r="Q28" s="138"/>
      <c r="R28" s="138"/>
      <c r="S28" s="141"/>
      <c r="T28" s="141"/>
      <c r="U28" s="141"/>
      <c r="V28" s="141"/>
      <c r="W28" s="141"/>
      <c r="X28" s="142"/>
      <c r="Y28" s="141"/>
      <c r="Z28" s="141"/>
    </row>
    <row r="29" spans="1:26" ht="16.5" x14ac:dyDescent="0.2">
      <c r="A29" s="138"/>
      <c r="B29" s="72"/>
      <c r="C29" s="2">
        <v>46136</v>
      </c>
      <c r="D29" s="39" t="s">
        <v>547</v>
      </c>
      <c r="E29" s="84" t="s">
        <v>17</v>
      </c>
      <c r="F29" s="39" t="s">
        <v>548</v>
      </c>
      <c r="G29" s="39" t="s">
        <v>531</v>
      </c>
      <c r="H29" s="84" t="s">
        <v>457</v>
      </c>
      <c r="I29" s="9"/>
      <c r="J29" s="10" t="str">
        <f t="shared" si="37"/>
        <v>Hello, please can you send images/estimate for GW11 OWX (Mercedes A180)? Client name is Willow Gait. Thank you</v>
      </c>
      <c r="K29" s="53" t="str">
        <f t="shared" si="38"/>
        <v>📁</v>
      </c>
      <c r="L29" s="85"/>
      <c r="M29" s="87" t="s">
        <v>549</v>
      </c>
      <c r="N29" s="54" t="str">
        <f t="shared" si="39"/>
        <v>👇</v>
      </c>
      <c r="O29" s="73"/>
      <c r="P29" s="138"/>
      <c r="Q29" s="138"/>
      <c r="R29" s="138"/>
      <c r="S29" s="141"/>
      <c r="T29" s="141"/>
      <c r="U29" s="141"/>
      <c r="V29" s="141"/>
      <c r="W29" s="141"/>
      <c r="X29" s="142"/>
      <c r="Y29" s="141"/>
      <c r="Z29" s="141"/>
    </row>
    <row r="30" spans="1:26" ht="16.5" x14ac:dyDescent="0.2">
      <c r="A30" s="138"/>
      <c r="B30" s="72"/>
      <c r="C30" s="2">
        <v>46136</v>
      </c>
      <c r="D30" s="39" t="s">
        <v>550</v>
      </c>
      <c r="E30" s="84" t="s">
        <v>10</v>
      </c>
      <c r="F30" s="39"/>
      <c r="G30" s="39" t="s">
        <v>500</v>
      </c>
      <c r="H30" s="84" t="s">
        <v>460</v>
      </c>
      <c r="I30" s="9"/>
      <c r="J30" s="10" t="str">
        <f t="shared" ref="J30:J32" si="40">"Hello, please can you send images/estimate for "&amp;D30&amp;" ("&amp;G30&amp;")? Client name is "&amp;F30&amp;". Thank you"</f>
        <v>Hello, please can you send images/estimate for YA67 PLF (Toyota Avensis)? Client name is . Thank you</v>
      </c>
      <c r="K30" s="53" t="str">
        <f t="shared" si="38"/>
        <v>📁</v>
      </c>
      <c r="L30" s="85" t="s">
        <v>552</v>
      </c>
      <c r="M30" s="88" t="s">
        <v>551</v>
      </c>
      <c r="N30" s="54" t="str">
        <f t="shared" si="39"/>
        <v>👇</v>
      </c>
      <c r="O30" s="73"/>
      <c r="P30" s="138"/>
      <c r="Q30" s="138"/>
      <c r="R30" s="138"/>
      <c r="S30" s="141"/>
      <c r="T30" s="141"/>
      <c r="U30" s="141"/>
      <c r="V30" s="141"/>
      <c r="W30" s="141"/>
      <c r="X30" s="142"/>
      <c r="Y30" s="141"/>
      <c r="Z30" s="141"/>
    </row>
    <row r="31" spans="1:26" ht="16.5" x14ac:dyDescent="0.2">
      <c r="A31" s="138"/>
      <c r="B31" s="72"/>
      <c r="C31" s="2">
        <v>46136</v>
      </c>
      <c r="D31" s="39" t="s">
        <v>553</v>
      </c>
      <c r="E31" s="84" t="s">
        <v>10</v>
      </c>
      <c r="F31" s="39"/>
      <c r="G31" s="39" t="s">
        <v>554</v>
      </c>
      <c r="H31" s="84" t="s">
        <v>460</v>
      </c>
      <c r="I31" s="9"/>
      <c r="J31" s="10" t="str">
        <f t="shared" si="40"/>
        <v>Hello, please can you send images/estimate for ML23 KTC (Toyota Corolla)? Client name is . Thank you</v>
      </c>
      <c r="K31" s="53" t="str">
        <f t="shared" si="38"/>
        <v>📁</v>
      </c>
      <c r="L31" s="89" t="s">
        <v>555</v>
      </c>
      <c r="M31" s="88" t="s">
        <v>551</v>
      </c>
      <c r="N31" s="54" t="str">
        <f t="shared" si="39"/>
        <v>👇</v>
      </c>
      <c r="O31" s="73"/>
      <c r="P31" s="138"/>
      <c r="Q31" s="138"/>
      <c r="R31" s="138"/>
      <c r="S31" s="141"/>
      <c r="T31" s="141"/>
      <c r="U31" s="141"/>
      <c r="V31" s="141"/>
      <c r="W31" s="141"/>
      <c r="X31" s="142"/>
      <c r="Y31" s="141"/>
      <c r="Z31" s="141"/>
    </row>
    <row r="32" spans="1:26" ht="16.5" x14ac:dyDescent="0.2">
      <c r="A32" s="138"/>
      <c r="B32" s="72"/>
      <c r="C32" s="2">
        <v>46139</v>
      </c>
      <c r="D32" s="39" t="s">
        <v>564</v>
      </c>
      <c r="E32" s="84" t="s">
        <v>8</v>
      </c>
      <c r="F32" s="39" t="s">
        <v>565</v>
      </c>
      <c r="G32" s="39" t="s">
        <v>566</v>
      </c>
      <c r="H32" s="84"/>
      <c r="I32" s="9"/>
      <c r="J32" s="10" t="str">
        <f t="shared" si="40"/>
        <v>Hello, please can you send images/estimate for SV57 UXW (Suzuki SX4)? Client name is Nicola Marsh. Thank you</v>
      </c>
      <c r="K32" s="53" t="str">
        <f t="shared" ref="K32" si="41">HYPERLINK("#","📁")</f>
        <v>📁</v>
      </c>
      <c r="L32" s="85"/>
      <c r="M32" s="88" t="s">
        <v>608</v>
      </c>
      <c r="N32" s="54" t="str">
        <f t="shared" ref="N32" si="42">HYPERLINK("#","👇")</f>
        <v>👇</v>
      </c>
      <c r="O32" s="73"/>
      <c r="P32" s="138"/>
      <c r="Q32" s="138"/>
      <c r="R32" s="138"/>
      <c r="S32" s="141"/>
      <c r="T32" s="141"/>
      <c r="U32" s="141"/>
      <c r="V32" s="141"/>
      <c r="W32" s="141"/>
      <c r="X32" s="142"/>
      <c r="Y32" s="141"/>
      <c r="Z32" s="141"/>
    </row>
    <row r="33" spans="1:26" ht="16.5" x14ac:dyDescent="0.2">
      <c r="A33" s="138"/>
      <c r="B33" s="72"/>
      <c r="C33" s="2">
        <v>46139</v>
      </c>
      <c r="D33" s="39" t="s">
        <v>573</v>
      </c>
      <c r="E33" s="84" t="s">
        <v>10</v>
      </c>
      <c r="F33" s="39"/>
      <c r="G33" s="39" t="s">
        <v>574</v>
      </c>
      <c r="H33" s="84" t="s">
        <v>460</v>
      </c>
      <c r="I33" s="9"/>
      <c r="J33" s="10" t="str">
        <f t="shared" ref="J33" si="43">"Hello, please can you send images/estimate for "&amp;D33&amp;" ("&amp;G33&amp;")? Client name is "&amp;F33&amp;". Thank you"</f>
        <v>Hello, please can you send images/estimate for YP16 FHA (Lexus)? Client name is . Thank you</v>
      </c>
      <c r="K33" s="53" t="str">
        <f t="shared" ref="K33:K38" si="44">HYPERLINK("#","📁")</f>
        <v>📁</v>
      </c>
      <c r="L33" s="85" t="s">
        <v>575</v>
      </c>
      <c r="M33" s="88" t="s">
        <v>576</v>
      </c>
      <c r="N33" s="54" t="str">
        <f t="shared" ref="N33:N38" si="45">HYPERLINK("#","👇")</f>
        <v>👇</v>
      </c>
      <c r="O33" s="73"/>
      <c r="P33" s="138"/>
      <c r="Q33" s="138"/>
      <c r="R33" s="138"/>
      <c r="S33" s="141"/>
      <c r="T33" s="141"/>
      <c r="U33" s="141"/>
      <c r="V33" s="141"/>
      <c r="W33" s="141"/>
      <c r="X33" s="142"/>
      <c r="Y33" s="141"/>
      <c r="Z33" s="141"/>
    </row>
    <row r="34" spans="1:26" ht="16.5" x14ac:dyDescent="0.2">
      <c r="A34" s="138"/>
      <c r="B34" s="72"/>
      <c r="C34" s="2">
        <v>46139</v>
      </c>
      <c r="D34" s="39" t="s">
        <v>587</v>
      </c>
      <c r="E34" s="84" t="s">
        <v>107</v>
      </c>
      <c r="F34" s="39" t="s">
        <v>588</v>
      </c>
      <c r="G34" s="39" t="s">
        <v>589</v>
      </c>
      <c r="H34" s="84" t="s">
        <v>457</v>
      </c>
      <c r="I34" s="9"/>
      <c r="J34" s="10" t="str">
        <f>"Hello, please can you send images/estimate for "&amp;D34&amp;" ("&amp;G34&amp;")? Client name is "&amp;F34&amp;". Thank you"</f>
        <v>Hello, please can you send images/estimate for SA62JWW (Honda Jazz)? Client name is Abdulqani Hassan Mohamed                                      . Thank you</v>
      </c>
      <c r="K34" s="53" t="str">
        <f t="shared" si="44"/>
        <v>📁</v>
      </c>
      <c r="L34" s="85"/>
      <c r="M34" s="88" t="s">
        <v>590</v>
      </c>
      <c r="N34" s="54" t="str">
        <f t="shared" si="45"/>
        <v>👇</v>
      </c>
      <c r="O34" s="73"/>
      <c r="P34" s="138"/>
      <c r="Q34" s="138"/>
      <c r="R34" s="138"/>
      <c r="S34" s="141"/>
      <c r="T34" s="141"/>
      <c r="U34" s="141"/>
      <c r="V34" s="141"/>
      <c r="W34" s="141"/>
      <c r="X34" s="142"/>
      <c r="Y34" s="141"/>
      <c r="Z34" s="141"/>
    </row>
    <row r="35" spans="1:26" ht="16.5" x14ac:dyDescent="0.2">
      <c r="A35" s="138"/>
      <c r="B35" s="72"/>
      <c r="C35" s="2">
        <v>46139</v>
      </c>
      <c r="D35" s="39" t="s">
        <v>591</v>
      </c>
      <c r="E35" s="84" t="s">
        <v>17</v>
      </c>
      <c r="F35" s="39" t="s">
        <v>592</v>
      </c>
      <c r="G35" s="39" t="s">
        <v>593</v>
      </c>
      <c r="H35" s="84" t="s">
        <v>594</v>
      </c>
      <c r="I35" s="9"/>
      <c r="J35" s="10" t="str">
        <f t="shared" ref="J35:J38" si="46">"Hello, please can you send images/estimate for "&amp;D35&amp;" ("&amp;G35&amp;")? Client name is "&amp;F35&amp;". Thank you"</f>
        <v>Hello, please can you send images/estimate for OY74 FWV (Hyundai Ioniq 5)? Client name is Daniel Chetnik . Thank you</v>
      </c>
      <c r="K35" s="53" t="str">
        <f t="shared" si="44"/>
        <v>📁</v>
      </c>
      <c r="L35" s="85"/>
      <c r="M35" s="88" t="s">
        <v>595</v>
      </c>
      <c r="N35" s="54" t="str">
        <f t="shared" si="45"/>
        <v>👇</v>
      </c>
      <c r="O35" s="73"/>
      <c r="P35" s="138"/>
      <c r="Q35" s="138"/>
      <c r="R35" s="138"/>
      <c r="S35" s="141"/>
      <c r="T35" s="141"/>
      <c r="U35" s="141"/>
      <c r="V35" s="141"/>
      <c r="W35" s="141"/>
      <c r="X35" s="142"/>
      <c r="Y35" s="141"/>
      <c r="Z35" s="141"/>
    </row>
    <row r="36" spans="1:26" ht="16.5" x14ac:dyDescent="0.2">
      <c r="A36" s="138"/>
      <c r="B36" s="72"/>
      <c r="C36" s="2">
        <v>46139</v>
      </c>
      <c r="D36" s="39" t="s">
        <v>596</v>
      </c>
      <c r="E36" s="84" t="s">
        <v>86</v>
      </c>
      <c r="F36" s="39" t="s">
        <v>597</v>
      </c>
      <c r="G36" s="39"/>
      <c r="H36" s="84" t="s">
        <v>457</v>
      </c>
      <c r="I36" s="9"/>
      <c r="J36" s="10" t="str">
        <f t="shared" si="46"/>
        <v>Hello, please can you send images/estimate for G5UJU ()? Client name is M A Raza. Thank you</v>
      </c>
      <c r="K36" s="53" t="str">
        <f t="shared" si="44"/>
        <v>📁</v>
      </c>
      <c r="L36" s="85"/>
      <c r="M36" s="101" t="s">
        <v>600</v>
      </c>
      <c r="N36" s="54" t="str">
        <f t="shared" si="45"/>
        <v>👇</v>
      </c>
      <c r="O36" s="73"/>
      <c r="P36" s="138"/>
      <c r="Q36" s="138"/>
      <c r="R36" s="138"/>
      <c r="S36" s="141"/>
      <c r="T36" s="141"/>
      <c r="U36" s="141"/>
      <c r="V36" s="141"/>
      <c r="W36" s="141"/>
      <c r="X36" s="142"/>
      <c r="Y36" s="141"/>
      <c r="Z36" s="141"/>
    </row>
    <row r="37" spans="1:26" ht="16.5" x14ac:dyDescent="0.2">
      <c r="A37" s="138"/>
      <c r="B37" s="72"/>
      <c r="C37" s="2">
        <v>46139</v>
      </c>
      <c r="D37" s="39" t="s">
        <v>601</v>
      </c>
      <c r="E37" s="84" t="s">
        <v>107</v>
      </c>
      <c r="F37" s="39" t="s">
        <v>602</v>
      </c>
      <c r="G37" s="39" t="s">
        <v>603</v>
      </c>
      <c r="H37" s="84" t="s">
        <v>457</v>
      </c>
      <c r="I37" s="9"/>
      <c r="J37" s="10" t="str">
        <f t="shared" si="46"/>
        <v>Hello, please can you send images/estimate for DY72 YRO (Hyundai Santa Fe)? Client name is Afaf Sabil. Thank you</v>
      </c>
      <c r="K37" s="53" t="str">
        <f t="shared" si="44"/>
        <v>📁</v>
      </c>
      <c r="L37" s="85"/>
      <c r="M37" s="100" t="s">
        <v>609</v>
      </c>
      <c r="N37" s="54" t="str">
        <f t="shared" si="45"/>
        <v>👇</v>
      </c>
      <c r="O37" s="73"/>
      <c r="P37" s="138"/>
      <c r="Q37" s="138"/>
      <c r="R37" s="138"/>
      <c r="S37" s="141"/>
      <c r="T37" s="141"/>
      <c r="U37" s="141"/>
      <c r="V37" s="141"/>
      <c r="W37" s="141"/>
      <c r="X37" s="142"/>
      <c r="Y37" s="141"/>
      <c r="Z37" s="141"/>
    </row>
    <row r="38" spans="1:26" ht="16.5" x14ac:dyDescent="0.2">
      <c r="A38" s="138"/>
      <c r="B38" s="72"/>
      <c r="C38" s="2">
        <v>46140</v>
      </c>
      <c r="D38" s="39" t="s">
        <v>612</v>
      </c>
      <c r="E38" s="84" t="s">
        <v>13</v>
      </c>
      <c r="F38" s="39" t="s">
        <v>613</v>
      </c>
      <c r="G38" s="39" t="s">
        <v>614</v>
      </c>
      <c r="H38" s="84" t="s">
        <v>457</v>
      </c>
      <c r="I38" s="9">
        <v>46142</v>
      </c>
      <c r="J38" s="10" t="str">
        <f t="shared" si="46"/>
        <v>Hello, please can you send images/estimate for FD73ABK (AUDI A4)? Client name is Greens Retail LTD. Thank you</v>
      </c>
      <c r="K38" s="53" t="str">
        <f t="shared" si="44"/>
        <v>📁</v>
      </c>
      <c r="L38" s="85"/>
      <c r="M38" s="100" t="s">
        <v>615</v>
      </c>
      <c r="N38" s="54" t="str">
        <f t="shared" si="45"/>
        <v>👇</v>
      </c>
      <c r="O38" s="73"/>
      <c r="P38" s="138"/>
      <c r="Q38" s="138"/>
      <c r="R38" s="138"/>
      <c r="S38" s="141"/>
      <c r="T38" s="141"/>
      <c r="U38" s="141"/>
      <c r="V38" s="141"/>
      <c r="W38" s="141"/>
      <c r="X38" s="142"/>
      <c r="Y38" s="141"/>
      <c r="Z38" s="141"/>
    </row>
    <row r="39" spans="1:26" ht="16.5" x14ac:dyDescent="0.2">
      <c r="A39" s="138"/>
      <c r="B39" s="72"/>
      <c r="C39" s="2">
        <v>46140</v>
      </c>
      <c r="D39" s="39" t="s">
        <v>623</v>
      </c>
      <c r="E39" s="84" t="s">
        <v>20</v>
      </c>
      <c r="F39" s="39" t="s">
        <v>624</v>
      </c>
      <c r="G39" s="39"/>
      <c r="H39" s="84" t="s">
        <v>457</v>
      </c>
      <c r="I39" s="9"/>
      <c r="J39" s="10" t="str">
        <f t="shared" ref="J39:J48" si="47">"Hello, please can you send images/estimate for "&amp;D39&amp;" ("&amp;G39&amp;")? Client name is "&amp;F39&amp;". Thank you"</f>
        <v>Hello, please can you send images/estimate for WL08KCO ()? Client name is Carol Quinn. Thank you</v>
      </c>
      <c r="K39" s="53" t="str">
        <f t="shared" ref="K39:K48" si="48">HYPERLINK("#","📁")</f>
        <v>📁</v>
      </c>
      <c r="L39" s="85"/>
      <c r="M39" s="100" t="s">
        <v>628</v>
      </c>
      <c r="N39" s="54" t="str">
        <f t="shared" ref="N39:N47" si="49">HYPERLINK("#","👇")</f>
        <v>👇</v>
      </c>
      <c r="O39" s="73"/>
      <c r="P39" s="138"/>
      <c r="Q39" s="138"/>
      <c r="R39" s="138"/>
      <c r="S39" s="141"/>
      <c r="T39" s="141"/>
      <c r="U39" s="141"/>
      <c r="V39" s="141"/>
      <c r="W39" s="141"/>
      <c r="X39" s="142"/>
      <c r="Y39" s="141"/>
      <c r="Z39" s="141"/>
    </row>
    <row r="40" spans="1:26" ht="16.5" x14ac:dyDescent="0.2">
      <c r="A40" s="138"/>
      <c r="B40" s="72"/>
      <c r="C40" s="2">
        <v>46140</v>
      </c>
      <c r="D40" s="39" t="s">
        <v>629</v>
      </c>
      <c r="E40" s="84" t="s">
        <v>8</v>
      </c>
      <c r="F40" s="39" t="s">
        <v>630</v>
      </c>
      <c r="G40" s="39" t="s">
        <v>631</v>
      </c>
      <c r="H40" s="84" t="s">
        <v>460</v>
      </c>
      <c r="I40" s="9"/>
      <c r="J40" s="10" t="str">
        <f t="shared" si="47"/>
        <v>Hello, please can you send images/estimate for FL68 DXT (Vauxhall Grandland)? Client name is Charles Devlin. Thank you</v>
      </c>
      <c r="K40" s="53" t="str">
        <f t="shared" si="48"/>
        <v>📁</v>
      </c>
      <c r="L40" s="85" t="s">
        <v>633</v>
      </c>
      <c r="M40" s="100" t="s">
        <v>632</v>
      </c>
      <c r="N40" s="54" t="str">
        <f t="shared" si="49"/>
        <v>👇</v>
      </c>
      <c r="O40" s="73"/>
      <c r="P40" s="138"/>
      <c r="Q40" s="138"/>
      <c r="R40" s="138"/>
      <c r="S40" s="141"/>
      <c r="T40" s="141"/>
      <c r="U40" s="141"/>
      <c r="V40" s="141"/>
      <c r="W40" s="141"/>
      <c r="X40" s="142"/>
      <c r="Y40" s="141"/>
      <c r="Z40" s="141"/>
    </row>
    <row r="41" spans="1:26" ht="16.5" x14ac:dyDescent="0.2">
      <c r="A41" s="138"/>
      <c r="B41" s="72"/>
      <c r="C41" s="2">
        <v>46140</v>
      </c>
      <c r="D41" s="39" t="s">
        <v>634</v>
      </c>
      <c r="E41" s="84" t="s">
        <v>17</v>
      </c>
      <c r="F41" s="39" t="s">
        <v>635</v>
      </c>
      <c r="G41" s="39" t="s">
        <v>636</v>
      </c>
      <c r="H41" s="84"/>
      <c r="I41" s="9"/>
      <c r="J41" s="10" t="str">
        <f t="shared" si="47"/>
        <v>Hello, please can you send images/estimate for VX71 YDO (Audi A5)? Client name is Yoni Sherer. Thank you</v>
      </c>
      <c r="K41" s="53" t="str">
        <f t="shared" si="48"/>
        <v>📁</v>
      </c>
      <c r="L41" s="85"/>
      <c r="M41" s="100" t="s">
        <v>637</v>
      </c>
      <c r="N41" s="54" t="str">
        <f t="shared" si="49"/>
        <v>👇</v>
      </c>
      <c r="O41" s="73"/>
      <c r="P41" s="138"/>
      <c r="Q41" s="138"/>
      <c r="R41" s="138"/>
      <c r="S41" s="141"/>
      <c r="T41" s="141"/>
      <c r="U41" s="141"/>
      <c r="V41" s="141"/>
      <c r="W41" s="141"/>
      <c r="X41" s="142"/>
      <c r="Y41" s="141"/>
      <c r="Z41" s="141"/>
    </row>
    <row r="42" spans="1:26" ht="16.5" x14ac:dyDescent="0.2">
      <c r="A42" s="138"/>
      <c r="B42" s="72"/>
      <c r="C42" s="2">
        <v>46140</v>
      </c>
      <c r="D42" s="39" t="s">
        <v>641</v>
      </c>
      <c r="E42" s="84" t="s">
        <v>15</v>
      </c>
      <c r="F42" s="39" t="s">
        <v>642</v>
      </c>
      <c r="G42" s="39" t="s">
        <v>520</v>
      </c>
      <c r="H42" s="84" t="s">
        <v>457</v>
      </c>
      <c r="I42" s="9"/>
      <c r="J42" s="10" t="str">
        <f t="shared" si="47"/>
        <v>Hello, please can you send images/estimate for VE65OBA (Toyota)? Client name is Amar Yaqub. Thank you</v>
      </c>
      <c r="K42" s="53" t="str">
        <f t="shared" si="48"/>
        <v>📁</v>
      </c>
      <c r="L42" s="85"/>
      <c r="M42" s="100" t="s">
        <v>638</v>
      </c>
      <c r="N42" s="54" t="str">
        <f t="shared" si="49"/>
        <v>👇</v>
      </c>
      <c r="O42" s="73"/>
      <c r="P42" s="138"/>
      <c r="Q42" s="138"/>
      <c r="R42" s="138"/>
      <c r="S42" s="141"/>
      <c r="T42" s="141"/>
      <c r="U42" s="141"/>
      <c r="V42" s="141"/>
      <c r="W42" s="141"/>
      <c r="X42" s="142"/>
      <c r="Y42" s="141"/>
      <c r="Z42" s="141"/>
    </row>
    <row r="43" spans="1:26" ht="16.5" x14ac:dyDescent="0.2">
      <c r="A43" s="138"/>
      <c r="B43" s="72"/>
      <c r="C43" s="2">
        <v>46140</v>
      </c>
      <c r="D43" s="39" t="s">
        <v>643</v>
      </c>
      <c r="E43" s="84" t="s">
        <v>9</v>
      </c>
      <c r="F43" s="39"/>
      <c r="G43" s="39" t="s">
        <v>644</v>
      </c>
      <c r="H43" s="84" t="s">
        <v>460</v>
      </c>
      <c r="I43" s="9"/>
      <c r="J43" s="10" t="str">
        <f t="shared" si="47"/>
        <v>Hello, please can you send images/estimate for BX67 RZU (Toyota Voxy)? Client name is . Thank you</v>
      </c>
      <c r="K43" s="53" t="str">
        <f t="shared" si="48"/>
        <v>📁</v>
      </c>
      <c r="L43" s="89" t="s">
        <v>646</v>
      </c>
      <c r="M43" s="100" t="s">
        <v>645</v>
      </c>
      <c r="N43" s="54" t="str">
        <f t="shared" si="49"/>
        <v>👇</v>
      </c>
      <c r="O43" s="73"/>
      <c r="P43" s="138"/>
      <c r="Q43" s="138"/>
      <c r="R43" s="138"/>
      <c r="S43" s="141"/>
      <c r="T43" s="141"/>
      <c r="U43" s="141"/>
      <c r="V43" s="141"/>
      <c r="W43" s="141"/>
      <c r="X43" s="142"/>
      <c r="Y43" s="141"/>
      <c r="Z43" s="141"/>
    </row>
    <row r="44" spans="1:26" ht="16.5" x14ac:dyDescent="0.2">
      <c r="A44" s="138"/>
      <c r="B44" s="72"/>
      <c r="C44" s="2">
        <v>46140</v>
      </c>
      <c r="D44" s="39" t="s">
        <v>648</v>
      </c>
      <c r="E44" s="84" t="s">
        <v>10</v>
      </c>
      <c r="F44" s="39"/>
      <c r="G44" s="39" t="s">
        <v>649</v>
      </c>
      <c r="H44" s="84" t="s">
        <v>460</v>
      </c>
      <c r="I44" s="9"/>
      <c r="J44" s="10" t="str">
        <f t="shared" si="47"/>
        <v>Hello, please can you send images/estimate for GY04 GXT (Toyota Yaris)? Client name is . Thank you</v>
      </c>
      <c r="K44" s="53" t="str">
        <f t="shared" si="48"/>
        <v>📁</v>
      </c>
      <c r="L44" s="85" t="s">
        <v>651</v>
      </c>
      <c r="M44" s="100" t="s">
        <v>650</v>
      </c>
      <c r="N44" s="54" t="str">
        <f t="shared" si="49"/>
        <v>👇</v>
      </c>
      <c r="O44" s="73"/>
      <c r="P44" s="138"/>
      <c r="Q44" s="138"/>
      <c r="R44" s="138"/>
      <c r="S44" s="141"/>
      <c r="T44" s="141"/>
      <c r="U44" s="141"/>
      <c r="V44" s="141"/>
      <c r="W44" s="141"/>
      <c r="X44" s="142"/>
      <c r="Y44" s="141"/>
      <c r="Z44" s="141"/>
    </row>
    <row r="45" spans="1:26" ht="16.5" x14ac:dyDescent="0.2">
      <c r="A45" s="138"/>
      <c r="B45" s="72"/>
      <c r="C45" s="2">
        <v>46140</v>
      </c>
      <c r="D45" s="39" t="s">
        <v>652</v>
      </c>
      <c r="E45" s="84" t="s">
        <v>17</v>
      </c>
      <c r="F45" s="39" t="s">
        <v>653</v>
      </c>
      <c r="G45" s="39" t="s">
        <v>654</v>
      </c>
      <c r="H45" s="84" t="s">
        <v>504</v>
      </c>
      <c r="I45" s="9"/>
      <c r="J45" s="10" t="str">
        <f t="shared" si="47"/>
        <v>Hello, please can you send images/estimate for AJ17 FNL (Peugeot 308)? Client name is Arabella Christie. Thank you</v>
      </c>
      <c r="K45" s="53" t="str">
        <f t="shared" si="48"/>
        <v>📁</v>
      </c>
      <c r="L45" s="85"/>
      <c r="M45" s="100" t="s">
        <v>637</v>
      </c>
      <c r="N45" s="54" t="str">
        <f t="shared" si="49"/>
        <v>👇</v>
      </c>
      <c r="O45" s="73"/>
      <c r="P45" s="138"/>
      <c r="Q45" s="138"/>
      <c r="R45" s="138"/>
      <c r="S45" s="141"/>
      <c r="T45" s="141"/>
      <c r="U45" s="141"/>
      <c r="V45" s="141"/>
      <c r="W45" s="141"/>
      <c r="X45" s="142"/>
      <c r="Y45" s="141"/>
      <c r="Z45" s="141"/>
    </row>
    <row r="46" spans="1:26" ht="16.5" x14ac:dyDescent="0.2">
      <c r="A46" s="138"/>
      <c r="B46" s="72"/>
      <c r="C46" s="2">
        <v>46140</v>
      </c>
      <c r="D46" s="39" t="s">
        <v>657</v>
      </c>
      <c r="E46" s="84" t="s">
        <v>10</v>
      </c>
      <c r="F46" s="39" t="s">
        <v>658</v>
      </c>
      <c r="G46" s="39" t="s">
        <v>517</v>
      </c>
      <c r="H46" s="84" t="s">
        <v>457</v>
      </c>
      <c r="I46" s="9"/>
      <c r="J46" s="10" t="str">
        <f t="shared" si="47"/>
        <v>Hello, please can you send images/estimate for YF18OGX (Seat Leon)? Client name is Aden Hussein. Thank you</v>
      </c>
      <c r="K46" s="53" t="str">
        <f t="shared" si="48"/>
        <v>📁</v>
      </c>
      <c r="L46" s="85"/>
      <c r="M46" s="100" t="s">
        <v>660</v>
      </c>
      <c r="N46" s="54" t="str">
        <f t="shared" si="49"/>
        <v>👇</v>
      </c>
      <c r="O46" s="73"/>
      <c r="P46" s="138"/>
      <c r="Q46" s="138"/>
      <c r="R46" s="138"/>
      <c r="S46" s="141"/>
      <c r="T46" s="141"/>
      <c r="U46" s="141"/>
      <c r="V46" s="141"/>
      <c r="W46" s="141"/>
      <c r="X46" s="142"/>
      <c r="Y46" s="141"/>
      <c r="Z46" s="141"/>
    </row>
    <row r="47" spans="1:26" ht="16.5" x14ac:dyDescent="0.2">
      <c r="A47" s="138"/>
      <c r="B47" s="72"/>
      <c r="C47" s="2">
        <v>46140</v>
      </c>
      <c r="D47" s="39" t="s">
        <v>659</v>
      </c>
      <c r="E47" s="84"/>
      <c r="F47" s="39"/>
      <c r="G47" s="39"/>
      <c r="H47" s="84"/>
      <c r="I47" s="9"/>
      <c r="J47" s="10" t="str">
        <f t="shared" si="47"/>
        <v>Hello, please can you send images/estimate for PO70 BZX ()? Client name is . Thank you</v>
      </c>
      <c r="K47" s="53" t="str">
        <f t="shared" si="48"/>
        <v>📁</v>
      </c>
      <c r="L47" s="85"/>
      <c r="M47" s="100" t="s">
        <v>689</v>
      </c>
      <c r="N47" s="54" t="str">
        <f t="shared" si="49"/>
        <v>👇</v>
      </c>
      <c r="O47" s="73"/>
      <c r="P47" s="138"/>
      <c r="Q47" s="138"/>
      <c r="R47" s="138"/>
      <c r="S47" s="141"/>
      <c r="T47" s="141"/>
      <c r="U47" s="141"/>
      <c r="V47" s="141"/>
      <c r="W47" s="141"/>
      <c r="X47" s="142"/>
      <c r="Y47" s="141"/>
      <c r="Z47" s="141"/>
    </row>
    <row r="48" spans="1:26" ht="16.5" x14ac:dyDescent="0.2">
      <c r="A48" s="138"/>
      <c r="B48" s="72"/>
      <c r="C48" s="2">
        <v>46140</v>
      </c>
      <c r="D48" s="39" t="s">
        <v>662</v>
      </c>
      <c r="E48" s="84" t="s">
        <v>10</v>
      </c>
      <c r="F48" s="39"/>
      <c r="G48" s="39" t="s">
        <v>16</v>
      </c>
      <c r="H48" s="84" t="s">
        <v>460</v>
      </c>
      <c r="I48" s="9"/>
      <c r="J48" s="10" t="str">
        <f t="shared" si="47"/>
        <v>Hello, please can you send images/estimate for SN16 FKB (Toyota Prius)? Client name is . Thank you</v>
      </c>
      <c r="K48" s="53" t="str">
        <f t="shared" si="48"/>
        <v>📁</v>
      </c>
      <c r="L48" s="85"/>
      <c r="M48" s="100" t="s">
        <v>663</v>
      </c>
      <c r="N48" s="54" t="str">
        <f t="shared" ref="N48:N50" si="50">HYPERLINK("#","👇")</f>
        <v>👇</v>
      </c>
      <c r="O48" s="73"/>
      <c r="P48" s="138"/>
      <c r="Q48" s="138"/>
      <c r="R48" s="138"/>
      <c r="S48" s="141"/>
      <c r="T48" s="141"/>
      <c r="U48" s="141"/>
      <c r="V48" s="141"/>
      <c r="W48" s="141"/>
      <c r="X48" s="142"/>
      <c r="Y48" s="141"/>
      <c r="Z48" s="141"/>
    </row>
    <row r="49" spans="1:26" ht="16.5" x14ac:dyDescent="0.2">
      <c r="A49" s="138"/>
      <c r="B49" s="72"/>
      <c r="C49" s="2">
        <v>46140</v>
      </c>
      <c r="D49" s="39" t="s">
        <v>671</v>
      </c>
      <c r="E49" s="84" t="s">
        <v>107</v>
      </c>
      <c r="F49" s="39" t="s">
        <v>672</v>
      </c>
      <c r="G49" s="39" t="s">
        <v>16</v>
      </c>
      <c r="H49" s="84" t="s">
        <v>457</v>
      </c>
      <c r="I49" s="9"/>
      <c r="J49" s="10" t="str">
        <f t="shared" ref="J49:J62" si="51">"Hello, please can you send images/estimate for "&amp;D49&amp;" ("&amp;G49&amp;")? Client name is "&amp;F49&amp;". Thank you"</f>
        <v>Hello, please can you send images/estimate for LX19EVW (Toyota Prius)? Client name is Asad Ishaq. Thank you</v>
      </c>
      <c r="K49" s="108" t="str">
        <f t="shared" ref="K49:K50" si="52">K48</f>
        <v>📁</v>
      </c>
      <c r="L49" s="85"/>
      <c r="M49" s="100" t="s">
        <v>673</v>
      </c>
      <c r="N49" s="54" t="str">
        <f t="shared" si="50"/>
        <v>👇</v>
      </c>
      <c r="O49" s="73"/>
      <c r="P49" s="138"/>
      <c r="Q49" s="138"/>
      <c r="R49" s="138"/>
      <c r="S49" s="141"/>
      <c r="T49" s="141"/>
      <c r="U49" s="141"/>
      <c r="V49" s="141"/>
      <c r="W49" s="141"/>
      <c r="X49" s="142"/>
      <c r="Y49" s="141"/>
      <c r="Z49" s="141"/>
    </row>
    <row r="50" spans="1:26" ht="30" x14ac:dyDescent="0.25">
      <c r="A50" s="138"/>
      <c r="B50" s="72"/>
      <c r="C50" s="2">
        <v>46141</v>
      </c>
      <c r="D50" s="110" t="s">
        <v>682</v>
      </c>
      <c r="E50" s="84" t="s">
        <v>13</v>
      </c>
      <c r="F50" s="39" t="s">
        <v>683</v>
      </c>
      <c r="G50" s="39" t="s">
        <v>684</v>
      </c>
      <c r="H50" s="84" t="s">
        <v>504</v>
      </c>
      <c r="I50" s="9">
        <v>46136</v>
      </c>
      <c r="J50" s="10" t="str">
        <f t="shared" si="51"/>
        <v>Hello, please can you send images/estimate for SA74RTV (RENAULT TRAFIC)? Client name is GTJ Logistics. Thank you</v>
      </c>
      <c r="K50" s="108" t="str">
        <f t="shared" si="52"/>
        <v>📁</v>
      </c>
      <c r="L50" s="85"/>
      <c r="M50" s="101" t="s">
        <v>727</v>
      </c>
      <c r="N50" s="54" t="str">
        <f t="shared" si="50"/>
        <v>👇</v>
      </c>
      <c r="O50" s="73"/>
      <c r="P50" s="138"/>
      <c r="Q50" s="138"/>
      <c r="R50" s="138"/>
      <c r="S50" s="141"/>
      <c r="T50" s="141"/>
      <c r="U50" s="141"/>
      <c r="V50" s="141"/>
      <c r="W50" s="141"/>
      <c r="X50" s="142"/>
      <c r="Y50" s="141"/>
      <c r="Z50" s="141"/>
    </row>
    <row r="51" spans="1:26" ht="16.5" x14ac:dyDescent="0.2">
      <c r="A51" s="138"/>
      <c r="B51" s="72"/>
      <c r="C51" s="102">
        <v>46141</v>
      </c>
      <c r="D51" s="103" t="s">
        <v>685</v>
      </c>
      <c r="E51" s="104" t="s">
        <v>13</v>
      </c>
      <c r="F51" s="103" t="s">
        <v>686</v>
      </c>
      <c r="G51" s="103" t="s">
        <v>687</v>
      </c>
      <c r="H51" s="104"/>
      <c r="I51" s="105">
        <v>46143</v>
      </c>
      <c r="J51" s="106" t="str">
        <f t="shared" si="51"/>
        <v>Hello, please can you send images/estimate for PX66TDZ (SEAT IBIZA)? Client name is Alfie Box. Thank you</v>
      </c>
      <c r="K51" s="51" t="str">
        <f t="shared" ref="K51:K62" si="53">HYPERLINK("#","📁")</f>
        <v>📁</v>
      </c>
      <c r="L51" s="85"/>
      <c r="M51" s="100" t="s">
        <v>688</v>
      </c>
      <c r="N51" s="49" t="str">
        <f t="shared" ref="N51:N58" si="54">HYPERLINK("#","👇")</f>
        <v>👇</v>
      </c>
      <c r="O51" s="73"/>
      <c r="P51" s="138"/>
      <c r="Q51" s="138"/>
      <c r="R51" s="138"/>
      <c r="S51" s="141"/>
      <c r="T51" s="141"/>
      <c r="U51" s="141"/>
      <c r="V51" s="141"/>
      <c r="W51" s="141"/>
      <c r="X51" s="142"/>
      <c r="Y51" s="141"/>
      <c r="Z51" s="141"/>
    </row>
    <row r="52" spans="1:26" ht="16.5" x14ac:dyDescent="0.2">
      <c r="A52" s="138"/>
      <c r="B52" s="72"/>
      <c r="C52" s="2">
        <v>46141</v>
      </c>
      <c r="D52" s="39" t="s">
        <v>691</v>
      </c>
      <c r="E52" s="84" t="s">
        <v>13</v>
      </c>
      <c r="F52" s="39" t="s">
        <v>692</v>
      </c>
      <c r="G52" s="39" t="s">
        <v>693</v>
      </c>
      <c r="H52" s="84" t="s">
        <v>504</v>
      </c>
      <c r="I52" s="9">
        <v>46143</v>
      </c>
      <c r="J52" s="10" t="str">
        <f t="shared" si="51"/>
        <v>Hello, please can you send images/estimate for NA18RAZ (TOYOTA RAV4)? Client name is Naim Razzaq. Thank you</v>
      </c>
      <c r="K52" s="53" t="str">
        <f t="shared" si="53"/>
        <v>📁</v>
      </c>
      <c r="L52" s="85"/>
      <c r="M52" s="100" t="s">
        <v>694</v>
      </c>
      <c r="N52" s="54" t="str">
        <f t="shared" si="54"/>
        <v>👇</v>
      </c>
      <c r="O52" s="73"/>
      <c r="P52" s="138"/>
      <c r="Q52" s="138"/>
      <c r="R52" s="138"/>
      <c r="S52" s="141"/>
      <c r="T52" s="141"/>
      <c r="U52" s="141"/>
      <c r="V52" s="141"/>
      <c r="W52" s="141"/>
      <c r="X52" s="142"/>
      <c r="Y52" s="141"/>
      <c r="Z52" s="141"/>
    </row>
    <row r="53" spans="1:26" ht="16.5" x14ac:dyDescent="0.2">
      <c r="A53" s="138"/>
      <c r="B53" s="72"/>
      <c r="C53" s="2">
        <v>46141</v>
      </c>
      <c r="D53" s="39" t="s">
        <v>697</v>
      </c>
      <c r="E53" s="84" t="s">
        <v>8</v>
      </c>
      <c r="F53" s="39"/>
      <c r="G53" s="39"/>
      <c r="H53" s="84"/>
      <c r="I53" s="9"/>
      <c r="J53" s="10" t="str">
        <f t="shared" si="51"/>
        <v>Hello, please can you send images/estimate for EY69 PYO ()? Client name is . Thank you</v>
      </c>
      <c r="K53" s="53" t="str">
        <f t="shared" si="53"/>
        <v>📁</v>
      </c>
      <c r="L53" s="85"/>
      <c r="M53" s="100" t="s">
        <v>698</v>
      </c>
      <c r="N53" s="54" t="str">
        <f t="shared" si="54"/>
        <v>👇</v>
      </c>
      <c r="O53" s="73"/>
      <c r="P53" s="138"/>
      <c r="Q53" s="138"/>
      <c r="R53" s="138"/>
      <c r="S53" s="141"/>
      <c r="T53" s="141"/>
      <c r="U53" s="141"/>
      <c r="V53" s="141"/>
      <c r="W53" s="141"/>
      <c r="X53" s="142"/>
      <c r="Y53" s="141"/>
      <c r="Z53" s="141"/>
    </row>
    <row r="54" spans="1:26" ht="16.5" x14ac:dyDescent="0.2">
      <c r="A54" s="138"/>
      <c r="B54" s="72"/>
      <c r="C54" s="2">
        <v>46141</v>
      </c>
      <c r="D54" s="39" t="s">
        <v>700</v>
      </c>
      <c r="E54" s="84" t="s">
        <v>15</v>
      </c>
      <c r="F54" s="39"/>
      <c r="G54" s="39" t="s">
        <v>468</v>
      </c>
      <c r="H54" s="84" t="s">
        <v>460</v>
      </c>
      <c r="I54" s="9"/>
      <c r="J54" s="10" t="str">
        <f t="shared" si="51"/>
        <v>Hello, please can you send images/estimate for KR16 SVS (Mercedes Vito)? Client name is . Thank you</v>
      </c>
      <c r="K54" s="53" t="str">
        <f t="shared" si="53"/>
        <v>📁</v>
      </c>
      <c r="L54" s="85" t="s">
        <v>702</v>
      </c>
      <c r="M54" s="100" t="s">
        <v>701</v>
      </c>
      <c r="N54" s="54" t="str">
        <f t="shared" si="54"/>
        <v>👇</v>
      </c>
      <c r="O54" s="73"/>
      <c r="P54" s="138"/>
      <c r="Q54" s="138"/>
      <c r="R54" s="138"/>
      <c r="S54" s="141"/>
      <c r="T54" s="141"/>
      <c r="U54" s="141"/>
      <c r="V54" s="141"/>
      <c r="W54" s="141"/>
      <c r="X54" s="142"/>
      <c r="Y54" s="141"/>
      <c r="Z54" s="141"/>
    </row>
    <row r="55" spans="1:26" ht="16.5" x14ac:dyDescent="0.2">
      <c r="A55" s="138"/>
      <c r="B55" s="72"/>
      <c r="C55" s="2">
        <v>46141</v>
      </c>
      <c r="D55" s="39" t="s">
        <v>711</v>
      </c>
      <c r="E55" s="84" t="s">
        <v>13</v>
      </c>
      <c r="F55" s="39" t="s">
        <v>712</v>
      </c>
      <c r="G55" s="39" t="s">
        <v>713</v>
      </c>
      <c r="H55" s="84" t="s">
        <v>504</v>
      </c>
      <c r="I55" s="9">
        <v>46148</v>
      </c>
      <c r="J55" s="10" t="str">
        <f t="shared" si="51"/>
        <v>Hello, please can you send images/estimate for V26LCY (NISSAN NAVARA)? Client name is Lucy Vaughan. Thank you</v>
      </c>
      <c r="K55" s="53" t="str">
        <f t="shared" si="53"/>
        <v>📁</v>
      </c>
      <c r="L55" s="85"/>
      <c r="M55" s="4" t="s">
        <v>714</v>
      </c>
      <c r="N55" s="54" t="str">
        <f t="shared" si="54"/>
        <v>👇</v>
      </c>
      <c r="O55" s="73"/>
      <c r="P55" s="138"/>
      <c r="Q55" s="138"/>
      <c r="R55" s="138"/>
      <c r="S55" s="141"/>
      <c r="T55" s="141"/>
      <c r="U55" s="141"/>
      <c r="V55" s="141"/>
      <c r="W55" s="141"/>
      <c r="X55" s="142"/>
      <c r="Y55" s="141"/>
      <c r="Z55" s="141"/>
    </row>
    <row r="56" spans="1:26" ht="16.5" x14ac:dyDescent="0.2">
      <c r="A56" s="138"/>
      <c r="B56" s="72"/>
      <c r="C56" s="2">
        <v>46141</v>
      </c>
      <c r="D56" s="39" t="s">
        <v>717</v>
      </c>
      <c r="E56" s="84" t="s">
        <v>15</v>
      </c>
      <c r="F56" s="39"/>
      <c r="G56" s="39" t="s">
        <v>462</v>
      </c>
      <c r="H56" s="84"/>
      <c r="I56" s="9"/>
      <c r="J56" s="10" t="str">
        <f t="shared" si="51"/>
        <v>Hello, please can you send images/estimate for YC15 RBV (Vauxhall Corsa)? Client name is . Thank you</v>
      </c>
      <c r="K56" s="53" t="str">
        <f t="shared" si="53"/>
        <v>📁</v>
      </c>
      <c r="L56" s="85" t="s">
        <v>719</v>
      </c>
      <c r="M56" s="4" t="s">
        <v>718</v>
      </c>
      <c r="N56" s="54" t="str">
        <f t="shared" si="54"/>
        <v>👇</v>
      </c>
      <c r="O56" s="73"/>
      <c r="P56" s="138"/>
      <c r="Q56" s="138"/>
      <c r="R56" s="138"/>
      <c r="S56" s="141"/>
      <c r="T56" s="141"/>
      <c r="U56" s="141"/>
      <c r="V56" s="141"/>
      <c r="W56" s="141"/>
      <c r="X56" s="142"/>
      <c r="Y56" s="141"/>
      <c r="Z56" s="141"/>
    </row>
    <row r="57" spans="1:26" ht="16.5" x14ac:dyDescent="0.2">
      <c r="A57" s="138"/>
      <c r="B57" s="72"/>
      <c r="C57" s="2">
        <v>46141</v>
      </c>
      <c r="D57" s="39" t="s">
        <v>723</v>
      </c>
      <c r="E57" s="84" t="s">
        <v>15</v>
      </c>
      <c r="F57" s="39" t="s">
        <v>724</v>
      </c>
      <c r="G57" s="39" t="s">
        <v>725</v>
      </c>
      <c r="H57" s="84" t="s">
        <v>457</v>
      </c>
      <c r="I57" s="9"/>
      <c r="J57" s="10" t="str">
        <f t="shared" si="51"/>
        <v>Hello, please can you send images/estimate for EN16XLM (Mercedes Benz)? Client name is Iman Mohammad. Thank you</v>
      </c>
      <c r="K57" s="53" t="str">
        <f t="shared" si="53"/>
        <v>📁</v>
      </c>
      <c r="L57" s="85"/>
      <c r="M57" s="4" t="s">
        <v>726</v>
      </c>
      <c r="N57" s="54" t="str">
        <f t="shared" si="54"/>
        <v>👇</v>
      </c>
      <c r="O57" s="73"/>
      <c r="P57" s="138"/>
      <c r="Q57" s="138"/>
      <c r="R57" s="138"/>
      <c r="S57" s="141"/>
      <c r="T57" s="141"/>
      <c r="U57" s="141"/>
      <c r="V57" s="141"/>
      <c r="W57" s="141"/>
      <c r="X57" s="142"/>
      <c r="Y57" s="141"/>
      <c r="Z57" s="141"/>
    </row>
    <row r="58" spans="1:26" s="136" customFormat="1" ht="30" x14ac:dyDescent="0.2">
      <c r="A58" s="138"/>
      <c r="B58" s="126"/>
      <c r="C58" s="127">
        <v>46140</v>
      </c>
      <c r="D58" s="137" t="s">
        <v>668</v>
      </c>
      <c r="E58" s="129" t="s">
        <v>17</v>
      </c>
      <c r="F58" s="128" t="s">
        <v>669</v>
      </c>
      <c r="G58" s="128" t="s">
        <v>670</v>
      </c>
      <c r="H58" s="129"/>
      <c r="I58" s="130"/>
      <c r="J58" s="131" t="str">
        <f t="shared" si="51"/>
        <v>Hello, please can you send images/estimate for L777 GUR (AUDI A1)? Client name is Jacklyn Gurney. Thank you</v>
      </c>
      <c r="K58" s="132" t="str">
        <f t="shared" si="53"/>
        <v>📁</v>
      </c>
      <c r="L58" s="133"/>
      <c r="M58" s="134" t="s">
        <v>739</v>
      </c>
      <c r="N58" s="54" t="str">
        <f t="shared" si="54"/>
        <v>👇</v>
      </c>
      <c r="O58" s="135"/>
      <c r="P58" s="138"/>
      <c r="Q58" s="138"/>
      <c r="R58" s="138"/>
      <c r="S58" s="141"/>
      <c r="T58" s="141"/>
      <c r="U58" s="141"/>
      <c r="V58" s="141"/>
      <c r="W58" s="141"/>
      <c r="X58" s="142"/>
      <c r="Y58" s="141"/>
      <c r="Z58" s="141"/>
    </row>
    <row r="59" spans="1:26" s="136" customFormat="1" ht="16.5" x14ac:dyDescent="0.2">
      <c r="A59" s="138"/>
      <c r="B59" s="126"/>
      <c r="C59" s="144">
        <v>46141</v>
      </c>
      <c r="D59" s="145" t="s">
        <v>742</v>
      </c>
      <c r="E59" s="146" t="s">
        <v>19</v>
      </c>
      <c r="F59" s="145"/>
      <c r="G59" s="145" t="s">
        <v>743</v>
      </c>
      <c r="H59" s="146"/>
      <c r="I59" s="147"/>
      <c r="J59" s="148" t="str">
        <f t="shared" si="51"/>
        <v>Hello, please can you send images/estimate for YS19 OUA (Ford)? Client name is . Thank you</v>
      </c>
      <c r="K59" s="51" t="str">
        <f>HYPERLINK("#","📁")</f>
        <v>📁</v>
      </c>
      <c r="L59" s="85" t="s">
        <v>745</v>
      </c>
      <c r="M59" s="149" t="s">
        <v>744</v>
      </c>
      <c r="N59" s="49" t="str">
        <f>HYPERLINK("#","👇")</f>
        <v>👇</v>
      </c>
      <c r="O59" s="135"/>
      <c r="P59" s="138"/>
      <c r="Q59" s="138"/>
      <c r="R59" s="138"/>
      <c r="S59" s="141"/>
      <c r="T59" s="141"/>
      <c r="U59" s="141"/>
      <c r="V59" s="141"/>
      <c r="W59" s="141"/>
      <c r="X59" s="142"/>
      <c r="Y59" s="141"/>
      <c r="Z59" s="141"/>
    </row>
    <row r="60" spans="1:26" ht="16.5" x14ac:dyDescent="0.2">
      <c r="A60" s="138"/>
      <c r="B60" s="72"/>
      <c r="D60" s="39"/>
      <c r="E60" s="84"/>
      <c r="F60" s="39"/>
      <c r="G60" s="39"/>
      <c r="H60" s="84"/>
      <c r="I60" s="9"/>
      <c r="J60" s="10" t="str">
        <f t="shared" si="51"/>
        <v>Hello, please can you send images/estimate for  ()? Client name is . Thank you</v>
      </c>
      <c r="K60" s="53" t="str">
        <f t="shared" si="53"/>
        <v>📁</v>
      </c>
      <c r="L60" s="85"/>
      <c r="M60" s="4"/>
      <c r="N60" s="54" t="str">
        <f>HYPERLINK("#","👇")</f>
        <v>👇</v>
      </c>
      <c r="O60" s="73"/>
      <c r="P60" s="138"/>
      <c r="Q60" s="138"/>
      <c r="R60" s="138"/>
      <c r="S60" s="141"/>
      <c r="T60" s="141"/>
      <c r="U60" s="141"/>
      <c r="V60" s="141"/>
      <c r="W60" s="141"/>
      <c r="X60" s="142"/>
      <c r="Y60" s="141"/>
      <c r="Z60" s="141"/>
    </row>
    <row r="61" spans="1:26" ht="16.5" x14ac:dyDescent="0.2">
      <c r="A61" s="138"/>
      <c r="B61" s="72"/>
      <c r="D61" s="39"/>
      <c r="E61" s="84"/>
      <c r="F61" s="39"/>
      <c r="G61" s="39"/>
      <c r="H61" s="84"/>
      <c r="I61" s="9"/>
      <c r="J61" s="10" t="str">
        <f t="shared" si="51"/>
        <v>Hello, please can you send images/estimate for  ()? Client name is . Thank you</v>
      </c>
      <c r="K61" s="53" t="str">
        <f t="shared" si="53"/>
        <v>📁</v>
      </c>
      <c r="L61" s="85"/>
      <c r="M61" s="4"/>
      <c r="N61" s="54" t="str">
        <f>HYPERLINK("#","👇")</f>
        <v>👇</v>
      </c>
      <c r="O61" s="73"/>
      <c r="P61" s="138"/>
      <c r="Q61" s="138"/>
      <c r="R61" s="138"/>
      <c r="S61" s="141"/>
      <c r="T61" s="141"/>
      <c r="U61" s="141"/>
      <c r="V61" s="141"/>
      <c r="W61" s="141"/>
      <c r="X61" s="142"/>
      <c r="Y61" s="141"/>
      <c r="Z61" s="141"/>
    </row>
    <row r="62" spans="1:26" ht="16.5" x14ac:dyDescent="0.2">
      <c r="A62" s="138"/>
      <c r="B62" s="72"/>
      <c r="D62" s="39"/>
      <c r="E62" s="84"/>
      <c r="F62" s="39"/>
      <c r="G62" s="39"/>
      <c r="H62" s="84"/>
      <c r="I62" s="9"/>
      <c r="J62" s="10" t="str">
        <f t="shared" si="51"/>
        <v>Hello, please can you send images/estimate for  ()? Client name is . Thank you</v>
      </c>
      <c r="K62" s="53" t="str">
        <f t="shared" si="53"/>
        <v>📁</v>
      </c>
      <c r="L62" s="85"/>
      <c r="M62" s="4"/>
      <c r="N62" s="54" t="str">
        <f>HYPERLINK("#","👇")</f>
        <v>👇</v>
      </c>
      <c r="O62" s="73"/>
      <c r="P62" s="138"/>
      <c r="Q62" s="138"/>
      <c r="R62" s="138"/>
      <c r="S62" s="141"/>
      <c r="T62" s="141"/>
      <c r="U62" s="141"/>
      <c r="V62" s="141"/>
      <c r="W62" s="141"/>
      <c r="X62" s="142"/>
      <c r="Y62" s="141"/>
      <c r="Z62" s="141"/>
    </row>
    <row r="63" spans="1:26" ht="34.5" customHeight="1" x14ac:dyDescent="0.2">
      <c r="A63" s="138"/>
      <c r="B63" s="15"/>
      <c r="C63" s="60"/>
      <c r="D63" s="61"/>
      <c r="E63" s="61"/>
      <c r="F63" s="7"/>
      <c r="G63" s="61"/>
      <c r="H63" s="61"/>
      <c r="I63" s="111" t="s">
        <v>26</v>
      </c>
      <c r="J63" s="76"/>
      <c r="K63" s="21"/>
      <c r="L63" s="62"/>
      <c r="M63" s="63"/>
      <c r="N63" s="64"/>
      <c r="O63" s="14"/>
      <c r="P63" s="138"/>
      <c r="Q63" s="138"/>
      <c r="R63" s="138"/>
      <c r="S63" s="141"/>
      <c r="T63" s="141"/>
      <c r="U63" s="141"/>
      <c r="V63" s="141"/>
      <c r="W63" s="141"/>
      <c r="X63" s="142"/>
      <c r="Y63" s="141"/>
      <c r="Z63" s="141"/>
    </row>
    <row r="64" spans="1:26" ht="54" customHeight="1" x14ac:dyDescent="0.2">
      <c r="A64" s="138"/>
      <c r="B64" s="6"/>
      <c r="C64" s="140"/>
      <c r="D64" s="140"/>
      <c r="E64" s="140"/>
      <c r="F64" s="140"/>
      <c r="G64" s="140"/>
      <c r="H64" s="140"/>
      <c r="I64" s="140"/>
      <c r="J64" s="140"/>
      <c r="K64" s="140"/>
      <c r="L64" s="140"/>
      <c r="M64" s="140"/>
      <c r="N64" s="140"/>
      <c r="O64" s="11"/>
      <c r="P64" s="138"/>
      <c r="Q64" s="138"/>
      <c r="R64" s="138"/>
      <c r="S64" s="141"/>
      <c r="T64" s="141"/>
      <c r="U64" s="141"/>
      <c r="V64" s="141"/>
      <c r="W64" s="141"/>
      <c r="X64" s="142"/>
      <c r="Y64" s="141"/>
      <c r="Z64" s="141"/>
    </row>
    <row r="65" spans="1:27" ht="8.1" customHeight="1" x14ac:dyDescent="0.2">
      <c r="A65" s="138"/>
      <c r="B65" s="139" t="e" vm="3">
        <v>#VALUE!</v>
      </c>
      <c r="C65" s="139"/>
      <c r="D65" s="139"/>
      <c r="E65" s="139"/>
      <c r="F65" s="139"/>
      <c r="G65" s="139"/>
      <c r="H65" s="139"/>
      <c r="I65" s="139"/>
      <c r="J65" s="139"/>
      <c r="K65" s="139"/>
      <c r="L65" s="139"/>
      <c r="M65" s="139"/>
      <c r="N65" s="139"/>
      <c r="O65" s="139"/>
      <c r="P65" s="138"/>
      <c r="Q65" s="138"/>
      <c r="R65" s="138"/>
      <c r="S65" s="141"/>
      <c r="T65" s="141"/>
      <c r="U65" s="141"/>
      <c r="V65" s="141"/>
      <c r="W65" s="141"/>
      <c r="X65" s="142"/>
      <c r="Y65" s="141"/>
      <c r="Z65" s="141"/>
    </row>
    <row r="66" spans="1:27" s="17" customFormat="1" ht="30" customHeight="1" x14ac:dyDescent="0.2">
      <c r="A66" s="138"/>
      <c r="B66" s="139"/>
      <c r="C66" s="139"/>
      <c r="D66" s="139"/>
      <c r="E66" s="139"/>
      <c r="F66" s="139"/>
      <c r="G66" s="139"/>
      <c r="H66" s="139"/>
      <c r="I66" s="139"/>
      <c r="J66" s="139"/>
      <c r="K66" s="139"/>
      <c r="L66" s="139"/>
      <c r="M66" s="139"/>
      <c r="N66" s="139"/>
      <c r="O66" s="139"/>
      <c r="P66" s="138"/>
      <c r="Q66" s="138"/>
      <c r="R66" s="138"/>
      <c r="S66" s="141"/>
      <c r="T66" s="141"/>
      <c r="U66" s="141"/>
      <c r="V66" s="141"/>
      <c r="W66" s="141"/>
      <c r="X66" s="142"/>
      <c r="Y66" s="141"/>
      <c r="Z66" s="141"/>
    </row>
    <row r="67" spans="1:27" ht="21" customHeight="1" x14ac:dyDescent="0.2">
      <c r="A67" s="138"/>
      <c r="B67" s="28"/>
      <c r="C67" s="22" t="s">
        <v>0</v>
      </c>
      <c r="D67" s="23" t="s">
        <v>1</v>
      </c>
      <c r="E67" s="23" t="s">
        <v>2</v>
      </c>
      <c r="F67" s="23" t="s">
        <v>3</v>
      </c>
      <c r="G67" s="23" t="s">
        <v>4</v>
      </c>
      <c r="H67" s="27"/>
      <c r="I67" s="24" t="s">
        <v>5</v>
      </c>
      <c r="J67" s="26"/>
      <c r="K67" s="25"/>
      <c r="L67" s="48"/>
      <c r="M67" s="55" t="s">
        <v>6</v>
      </c>
      <c r="N67" s="23"/>
      <c r="O67" s="56"/>
      <c r="P67" s="138"/>
      <c r="Q67" s="138"/>
      <c r="R67" s="138"/>
      <c r="S67" s="141"/>
      <c r="T67" s="141"/>
      <c r="U67" s="141"/>
      <c r="V67" s="141"/>
      <c r="W67" s="141"/>
      <c r="X67" s="142"/>
      <c r="Y67" s="141"/>
      <c r="Z67" s="141"/>
      <c r="AA67" s="1" t="s">
        <v>24</v>
      </c>
    </row>
    <row r="68" spans="1:27" s="99" customFormat="1" ht="16.5" x14ac:dyDescent="0.2">
      <c r="A68" s="138"/>
      <c r="B68" s="113"/>
      <c r="C68" s="2">
        <v>46139</v>
      </c>
      <c r="D68" s="39" t="s">
        <v>577</v>
      </c>
      <c r="E68" s="84" t="s">
        <v>13</v>
      </c>
      <c r="F68" t="s">
        <v>581</v>
      </c>
      <c r="G68" s="39" t="s">
        <v>578</v>
      </c>
      <c r="H68" s="84"/>
      <c r="I68" s="9">
        <v>46142</v>
      </c>
      <c r="J68" s="10" t="str">
        <f t="shared" ref="J68:J72" si="55">"Hello, please can you send images/estimate for "&amp;D68&amp;" ("&amp;G68&amp;")? Client name is "&amp;F68&amp;". Thank you"</f>
        <v>Hello, please can you send images/estimate for B18 LYP (Audi A1)? Client name is Bailey Park. Thank you</v>
      </c>
      <c r="K68" s="51" t="str">
        <f t="shared" ref="K68:K72" si="56">HYPERLINK("#","📁")</f>
        <v>📁</v>
      </c>
      <c r="L68" s="85" t="s">
        <v>580</v>
      </c>
      <c r="M68" s="86" t="s">
        <v>579</v>
      </c>
      <c r="N68" s="49" t="str">
        <f t="shared" ref="N68:N90" si="57">HYPERLINK("#","👆")</f>
        <v>👆</v>
      </c>
      <c r="O68" s="114"/>
      <c r="P68" s="138"/>
      <c r="Q68" s="138"/>
      <c r="R68" s="138"/>
      <c r="S68" s="141"/>
      <c r="T68" s="141"/>
      <c r="U68" s="141"/>
      <c r="V68" s="141"/>
      <c r="W68" s="141"/>
      <c r="X68" s="142"/>
      <c r="Y68" s="141"/>
      <c r="Z68" s="141"/>
    </row>
    <row r="69" spans="1:27" s="83" customFormat="1" ht="16.5" x14ac:dyDescent="0.2">
      <c r="A69" s="138"/>
      <c r="B69" s="70"/>
      <c r="C69" s="2">
        <v>46139</v>
      </c>
      <c r="D69" s="39" t="s">
        <v>585</v>
      </c>
      <c r="E69" s="84" t="s">
        <v>13</v>
      </c>
      <c r="F69" s="39" t="s">
        <v>598</v>
      </c>
      <c r="G69" s="39" t="s">
        <v>586</v>
      </c>
      <c r="H69" s="84"/>
      <c r="I69" s="9">
        <v>46142</v>
      </c>
      <c r="J69" s="10" t="str">
        <f t="shared" si="55"/>
        <v>Hello, please can you send images/estimate for KO18 OPT (Audi S5)? Client name is Ghulam Asghar. Thank you</v>
      </c>
      <c r="K69" s="51" t="str">
        <f t="shared" si="56"/>
        <v>📁</v>
      </c>
      <c r="L69" s="85"/>
      <c r="M69" s="86" t="s">
        <v>599</v>
      </c>
      <c r="N69" s="49" t="str">
        <f t="shared" si="57"/>
        <v>👆</v>
      </c>
      <c r="O69" s="71"/>
      <c r="P69" s="138"/>
      <c r="Q69" s="138"/>
      <c r="R69" s="138"/>
      <c r="S69" s="141"/>
      <c r="T69" s="141"/>
      <c r="U69" s="141"/>
      <c r="V69" s="141"/>
      <c r="W69" s="141"/>
      <c r="X69" s="142"/>
      <c r="Y69" s="141"/>
      <c r="Z69" s="141"/>
    </row>
    <row r="70" spans="1:27" s="83" customFormat="1" ht="16.5" x14ac:dyDescent="0.2">
      <c r="A70" s="138"/>
      <c r="B70" s="70"/>
      <c r="C70" s="2">
        <v>46140</v>
      </c>
      <c r="D70" s="39" t="s">
        <v>616</v>
      </c>
      <c r="E70" s="84" t="s">
        <v>13</v>
      </c>
      <c r="F70" s="39" t="s">
        <v>617</v>
      </c>
      <c r="G70" s="39" t="s">
        <v>618</v>
      </c>
      <c r="H70" s="84"/>
      <c r="I70" s="9">
        <v>46142</v>
      </c>
      <c r="J70" s="10" t="str">
        <f t="shared" si="55"/>
        <v>Hello, please can you send images/estimate for HG21URZ (BMW M3)? Client name is Tooran Hejazi Yousefi. Thank you</v>
      </c>
      <c r="K70" s="51" t="str">
        <f t="shared" si="56"/>
        <v>📁</v>
      </c>
      <c r="L70" s="85" t="s">
        <v>621</v>
      </c>
      <c r="M70" s="4" t="s">
        <v>620</v>
      </c>
      <c r="N70" s="49" t="str">
        <f t="shared" si="57"/>
        <v>👆</v>
      </c>
      <c r="O70" s="71"/>
      <c r="P70" s="138"/>
      <c r="Q70" s="138"/>
      <c r="R70" s="138"/>
      <c r="S70" s="141"/>
      <c r="T70" s="141"/>
      <c r="U70" s="141"/>
      <c r="V70" s="141"/>
      <c r="W70" s="141"/>
      <c r="X70" s="142"/>
      <c r="Y70" s="141"/>
      <c r="Z70" s="141"/>
    </row>
    <row r="71" spans="1:27" s="125" customFormat="1" ht="16.5" x14ac:dyDescent="0.2">
      <c r="A71" s="138"/>
      <c r="B71" s="80"/>
      <c r="C71" s="2">
        <v>46140</v>
      </c>
      <c r="D71" s="39" t="s">
        <v>664</v>
      </c>
      <c r="E71" s="84" t="s">
        <v>8</v>
      </c>
      <c r="F71" s="39" t="s">
        <v>665</v>
      </c>
      <c r="G71" s="39" t="s">
        <v>666</v>
      </c>
      <c r="H71" s="84"/>
      <c r="I71" s="9"/>
      <c r="J71" s="10" t="str">
        <f t="shared" si="55"/>
        <v>Hello, please can you send images/estimate for NX12 XYD (Peugeot RCZ)? Client name is Andrew Swales. Thank you</v>
      </c>
      <c r="K71" s="53" t="str">
        <f t="shared" si="56"/>
        <v>📁</v>
      </c>
      <c r="L71" s="85"/>
      <c r="M71" s="107" t="s">
        <v>619</v>
      </c>
      <c r="N71" s="49" t="str">
        <f t="shared" si="57"/>
        <v>👆</v>
      </c>
      <c r="P71" s="138"/>
      <c r="Q71" s="138"/>
      <c r="R71" s="138"/>
      <c r="S71" s="141"/>
      <c r="T71" s="141"/>
      <c r="U71" s="141"/>
      <c r="V71" s="141"/>
      <c r="W71" s="141"/>
      <c r="X71" s="142"/>
      <c r="Y71" s="141"/>
      <c r="Z71" s="141"/>
    </row>
    <row r="72" spans="1:27" s="83" customFormat="1" ht="16.5" x14ac:dyDescent="0.2">
      <c r="A72" s="138"/>
      <c r="B72" s="70"/>
      <c r="C72" s="102">
        <v>46140</v>
      </c>
      <c r="D72" s="103" t="s">
        <v>604</v>
      </c>
      <c r="E72" s="104" t="s">
        <v>13</v>
      </c>
      <c r="F72" s="103" t="s">
        <v>605</v>
      </c>
      <c r="G72" s="103" t="s">
        <v>606</v>
      </c>
      <c r="H72" s="104"/>
      <c r="I72" s="105">
        <v>46147</v>
      </c>
      <c r="J72" s="106" t="str">
        <f t="shared" si="55"/>
        <v>Hello, please can you send images/estimate for SM68YMA (FIAT DOBLO)? Client name is Paul Donnison. Thank you</v>
      </c>
      <c r="K72" s="51" t="str">
        <f t="shared" si="56"/>
        <v>📁</v>
      </c>
      <c r="L72" s="85" t="s">
        <v>667</v>
      </c>
      <c r="M72" s="107" t="s">
        <v>607</v>
      </c>
      <c r="N72" s="49" t="str">
        <f t="shared" si="57"/>
        <v>👆</v>
      </c>
      <c r="O72" s="71"/>
      <c r="P72" s="138"/>
      <c r="Q72" s="138"/>
      <c r="R72" s="138"/>
      <c r="S72" s="141"/>
      <c r="T72" s="141"/>
      <c r="U72" s="141"/>
      <c r="V72" s="141"/>
      <c r="W72" s="141"/>
      <c r="X72" s="142"/>
      <c r="Y72" s="141"/>
      <c r="Z72" s="141"/>
    </row>
    <row r="73" spans="1:27" s="83" customFormat="1" ht="16.5" x14ac:dyDescent="0.2">
      <c r="A73" s="138"/>
      <c r="B73" s="70"/>
      <c r="C73" s="2">
        <v>46139</v>
      </c>
      <c r="D73" s="39" t="s">
        <v>570</v>
      </c>
      <c r="E73" s="84" t="s">
        <v>13</v>
      </c>
      <c r="F73" s="39" t="s">
        <v>571</v>
      </c>
      <c r="G73" s="39" t="s">
        <v>572</v>
      </c>
      <c r="H73" s="84"/>
      <c r="I73" s="9">
        <v>46142</v>
      </c>
      <c r="J73" s="10" t="str">
        <f>"Hello, please can you send images/estimate for "&amp;D73&amp;" ("&amp;G73&amp;")? Client name is "&amp;F73&amp;". Thank you"</f>
        <v>Hello, please can you send images/estimate for S44HDG (BMW 335D)? Client name is Maryum Sheikh. Thank you</v>
      </c>
      <c r="K73" s="51" t="str">
        <f t="shared" ref="K73:K82" si="58">HYPERLINK("#","📁")</f>
        <v>📁</v>
      </c>
      <c r="L73" s="85"/>
      <c r="M73" s="4" t="s">
        <v>679</v>
      </c>
      <c r="N73" s="49" t="str">
        <f t="shared" si="57"/>
        <v>👆</v>
      </c>
      <c r="O73" s="71"/>
      <c r="P73" s="138"/>
      <c r="Q73" s="138"/>
      <c r="R73" s="138"/>
      <c r="S73" s="141"/>
      <c r="T73" s="141"/>
      <c r="U73" s="141"/>
      <c r="V73" s="141"/>
      <c r="W73" s="141"/>
      <c r="X73" s="142"/>
      <c r="Y73" s="141"/>
      <c r="Z73" s="141"/>
    </row>
    <row r="74" spans="1:27" s="83" customFormat="1" ht="16.5" x14ac:dyDescent="0.2">
      <c r="A74" s="138"/>
      <c r="B74" s="70"/>
      <c r="C74" s="116">
        <v>46139</v>
      </c>
      <c r="D74" s="117" t="s">
        <v>582</v>
      </c>
      <c r="E74" s="118" t="s">
        <v>8</v>
      </c>
      <c r="F74" s="117" t="s">
        <v>583</v>
      </c>
      <c r="G74" s="117" t="s">
        <v>584</v>
      </c>
      <c r="H74" s="118"/>
      <c r="I74" s="119"/>
      <c r="J74" s="120" t="str">
        <f t="shared" ref="J74:J75" si="59">"Hello, please can you send images/estimate for "&amp;D74&amp;" ("&amp;G74&amp;")? Client name is "&amp;F74&amp;". Thank you"</f>
        <v>Hello, please can you send images/estimate for X5 JEY (BMW X5)? Client name is Pratheep Sinnarajah . Thank you</v>
      </c>
      <c r="K74" s="121" t="str">
        <f t="shared" si="58"/>
        <v>📁</v>
      </c>
      <c r="L74" s="122"/>
      <c r="M74" s="123" t="s">
        <v>690</v>
      </c>
      <c r="N74" s="143" t="str">
        <f t="shared" si="57"/>
        <v>👆</v>
      </c>
      <c r="O74" s="71"/>
      <c r="P74" s="138"/>
      <c r="Q74" s="138"/>
      <c r="R74" s="138"/>
      <c r="S74" s="141"/>
      <c r="T74" s="141"/>
      <c r="U74" s="141"/>
      <c r="V74" s="141"/>
      <c r="W74" s="141"/>
      <c r="X74" s="142"/>
      <c r="Y74" s="141"/>
      <c r="Z74" s="141"/>
    </row>
    <row r="75" spans="1:27" s="83" customFormat="1" ht="16.5" x14ac:dyDescent="0.2">
      <c r="A75" s="138"/>
      <c r="B75" s="70"/>
      <c r="C75" s="2">
        <v>46140</v>
      </c>
      <c r="D75" s="39" t="s">
        <v>655</v>
      </c>
      <c r="E75" s="84" t="s">
        <v>680</v>
      </c>
      <c r="F75" s="39" t="s">
        <v>656</v>
      </c>
      <c r="G75" s="39" t="s">
        <v>532</v>
      </c>
      <c r="H75" s="84"/>
      <c r="I75" s="9">
        <v>46143</v>
      </c>
      <c r="J75" s="10" t="str">
        <f t="shared" si="59"/>
        <v>Hello, please can you send images/estimate for SK17OKA (Mazda 6)? Client name is Qayum Hussain. Thank you</v>
      </c>
      <c r="K75" s="51" t="str">
        <f t="shared" si="58"/>
        <v>📁</v>
      </c>
      <c r="L75" s="85"/>
      <c r="M75" s="4" t="s">
        <v>681</v>
      </c>
      <c r="N75" s="49" t="str">
        <f t="shared" si="57"/>
        <v>👆</v>
      </c>
      <c r="O75" s="71"/>
      <c r="P75" s="138"/>
      <c r="Q75" s="138"/>
      <c r="R75" s="138"/>
      <c r="S75" s="141"/>
      <c r="T75" s="141"/>
      <c r="U75" s="141"/>
      <c r="V75" s="141"/>
      <c r="W75" s="141"/>
      <c r="X75" s="142"/>
      <c r="Y75" s="141"/>
      <c r="Z75" s="141"/>
    </row>
    <row r="76" spans="1:27" s="99" customFormat="1" ht="16.5" x14ac:dyDescent="0.2">
      <c r="A76" s="138"/>
      <c r="B76" s="90"/>
      <c r="C76" s="91">
        <v>46141</v>
      </c>
      <c r="D76" s="92" t="s">
        <v>703</v>
      </c>
      <c r="E76" s="93" t="s">
        <v>130</v>
      </c>
      <c r="F76" s="92"/>
      <c r="G76" s="92" t="s">
        <v>704</v>
      </c>
      <c r="H76" s="93"/>
      <c r="I76" s="94"/>
      <c r="J76" s="95" t="str">
        <f>"Hello, please can you send images/estimate for "&amp;D76&amp;" ("&amp;G76&amp;")? Client name is "&amp;F76&amp;". Thank you"</f>
        <v>Hello, please can you send images/estimate for SP66 KCU (Mercedes)? Client name is . Thank you</v>
      </c>
      <c r="K76" s="96" t="str">
        <f t="shared" si="58"/>
        <v>📁</v>
      </c>
      <c r="L76" s="97" t="s">
        <v>705</v>
      </c>
      <c r="M76" s="124" t="s">
        <v>706</v>
      </c>
      <c r="N76" s="98" t="str">
        <f t="shared" si="57"/>
        <v>👆</v>
      </c>
      <c r="P76" s="138"/>
      <c r="Q76" s="138"/>
      <c r="R76" s="138"/>
      <c r="S76" s="141"/>
      <c r="T76" s="141"/>
      <c r="U76" s="141"/>
      <c r="V76" s="141"/>
      <c r="W76" s="141"/>
      <c r="X76" s="142"/>
      <c r="Y76" s="141"/>
      <c r="Z76" s="141"/>
    </row>
    <row r="77" spans="1:27" s="99" customFormat="1" ht="16.5" x14ac:dyDescent="0.2">
      <c r="A77" s="138"/>
      <c r="B77" s="90"/>
      <c r="C77" s="91">
        <v>46140</v>
      </c>
      <c r="D77" s="92" t="s">
        <v>639</v>
      </c>
      <c r="E77" s="93" t="s">
        <v>15</v>
      </c>
      <c r="F77" s="92" t="s">
        <v>640</v>
      </c>
      <c r="G77" s="92" t="s">
        <v>520</v>
      </c>
      <c r="H77" s="93"/>
      <c r="I77" s="94"/>
      <c r="J77" s="95" t="str">
        <f t="shared" ref="J77:J79" si="60">"Hello, please can you send images/estimate for "&amp;D77&amp;" ("&amp;G77&amp;")? Client name is "&amp;F77&amp;". Thank you"</f>
        <v>Hello, please can you send images/estimate for AY20WLP (Toyota)? Client name is Khalid Hammed. Thank you</v>
      </c>
      <c r="K77" s="96" t="str">
        <f t="shared" si="58"/>
        <v>📁</v>
      </c>
      <c r="L77" s="97" t="s">
        <v>708</v>
      </c>
      <c r="M77" s="124" t="s">
        <v>707</v>
      </c>
      <c r="N77" s="98" t="str">
        <f t="shared" si="57"/>
        <v>👆</v>
      </c>
      <c r="P77" s="138"/>
      <c r="Q77" s="138"/>
      <c r="R77" s="138"/>
      <c r="S77" s="141"/>
      <c r="T77" s="141"/>
      <c r="U77" s="141"/>
      <c r="V77" s="141"/>
      <c r="W77" s="141"/>
      <c r="X77" s="142"/>
      <c r="Y77" s="141"/>
      <c r="Z77" s="141"/>
    </row>
    <row r="78" spans="1:27" s="83" customFormat="1" ht="16.5" x14ac:dyDescent="0.2">
      <c r="A78" s="138"/>
      <c r="B78" s="70"/>
      <c r="C78" s="2">
        <v>46139</v>
      </c>
      <c r="D78" s="39" t="s">
        <v>567</v>
      </c>
      <c r="E78" s="84" t="s">
        <v>13</v>
      </c>
      <c r="F78" s="39" t="s">
        <v>568</v>
      </c>
      <c r="G78" s="39" t="s">
        <v>569</v>
      </c>
      <c r="H78" s="84"/>
      <c r="I78" s="9">
        <v>46147</v>
      </c>
      <c r="J78" s="10" t="str">
        <f t="shared" si="60"/>
        <v>Hello, please can you send images/estimate for SB73DXA (TESLA MODEL Y)? Client name is Enrico Caira. Thank you</v>
      </c>
      <c r="K78" s="51" t="str">
        <f t="shared" si="58"/>
        <v>📁</v>
      </c>
      <c r="L78" s="85" t="s">
        <v>710</v>
      </c>
      <c r="M78" s="86" t="s">
        <v>709</v>
      </c>
      <c r="N78" s="49" t="str">
        <f t="shared" si="57"/>
        <v>👆</v>
      </c>
      <c r="O78" s="71"/>
      <c r="P78" s="138"/>
      <c r="Q78" s="138"/>
      <c r="R78" s="138"/>
      <c r="S78" s="141"/>
      <c r="T78" s="141"/>
      <c r="U78" s="141"/>
      <c r="V78" s="141"/>
      <c r="W78" s="141"/>
      <c r="X78" s="142"/>
      <c r="Y78" s="141"/>
      <c r="Z78" s="141"/>
    </row>
    <row r="79" spans="1:27" s="83" customFormat="1" ht="16.5" x14ac:dyDescent="0.2">
      <c r="A79" s="138"/>
      <c r="B79" s="70"/>
      <c r="C79" s="2">
        <v>46140</v>
      </c>
      <c r="D79" s="39" t="s">
        <v>610</v>
      </c>
      <c r="E79" s="84" t="s">
        <v>238</v>
      </c>
      <c r="F79" s="39" t="s">
        <v>611</v>
      </c>
      <c r="G79" s="39"/>
      <c r="H79" s="84"/>
      <c r="I79" s="9"/>
      <c r="J79" s="10" t="str">
        <f t="shared" si="60"/>
        <v>Hello, please can you send images/estimate for LL61FZF ()? Client name is Farkh Jaweed. Thank you</v>
      </c>
      <c r="K79" s="51" t="str">
        <f t="shared" si="58"/>
        <v>📁</v>
      </c>
      <c r="L79" s="89" t="s">
        <v>715</v>
      </c>
      <c r="M79" s="4" t="s">
        <v>622</v>
      </c>
      <c r="N79" s="49" t="str">
        <f t="shared" si="57"/>
        <v>👆</v>
      </c>
      <c r="O79" s="71"/>
      <c r="P79" s="138"/>
      <c r="Q79" s="138"/>
      <c r="R79" s="138"/>
      <c r="S79" s="141"/>
      <c r="T79" s="141"/>
      <c r="U79" s="141"/>
      <c r="V79" s="141"/>
      <c r="W79" s="141"/>
      <c r="X79" s="142"/>
      <c r="Y79" s="141"/>
      <c r="Z79" s="141"/>
    </row>
    <row r="80" spans="1:27" s="83" customFormat="1" ht="16.5" x14ac:dyDescent="0.2">
      <c r="A80" s="138"/>
      <c r="B80" s="70"/>
      <c r="C80" s="102">
        <v>46141</v>
      </c>
      <c r="D80" s="39" t="s">
        <v>677</v>
      </c>
      <c r="E80" s="84" t="s">
        <v>238</v>
      </c>
      <c r="F80" s="39"/>
      <c r="G80" s="39"/>
      <c r="H80" s="84"/>
      <c r="I80" s="9"/>
      <c r="J80" s="10" t="str">
        <f t="shared" ref="J80:J90" si="61">"Hello, please can you send images/estimate for "&amp;D80&amp;" ("&amp;G80&amp;")? Client name is "&amp;F80&amp;". Thank you"</f>
        <v>Hello, please can you send images/estimate for MO51 NUK ()? Client name is . Thank you</v>
      </c>
      <c r="K80" s="51" t="str">
        <f t="shared" si="58"/>
        <v>📁</v>
      </c>
      <c r="L80" s="85" t="s">
        <v>678</v>
      </c>
      <c r="M80" s="4" t="s">
        <v>720</v>
      </c>
      <c r="N80" s="49" t="str">
        <f t="shared" si="57"/>
        <v>👆</v>
      </c>
      <c r="O80" s="71"/>
      <c r="P80" s="138"/>
      <c r="Q80" s="138"/>
      <c r="R80" s="138"/>
      <c r="S80" s="141"/>
      <c r="T80" s="141"/>
      <c r="U80" s="141"/>
      <c r="V80" s="141"/>
      <c r="W80" s="141"/>
      <c r="X80" s="142"/>
      <c r="Y80" s="141"/>
      <c r="Z80" s="141"/>
    </row>
    <row r="81" spans="1:26" s="83" customFormat="1" ht="16.5" x14ac:dyDescent="0.2">
      <c r="A81" s="138"/>
      <c r="B81" s="70"/>
      <c r="C81" s="102">
        <v>46141</v>
      </c>
      <c r="D81" s="39" t="s">
        <v>695</v>
      </c>
      <c r="E81" s="84" t="s">
        <v>75</v>
      </c>
      <c r="F81" s="39" t="s">
        <v>696</v>
      </c>
      <c r="G81" s="39" t="s">
        <v>545</v>
      </c>
      <c r="H81" s="84"/>
      <c r="I81" s="9"/>
      <c r="J81" s="10" t="str">
        <f t="shared" si="61"/>
        <v>Hello, please can you send images/estimate for KE54DYS (Ford Transit)? Client name is Lee Kennedy. Thank you</v>
      </c>
      <c r="K81" s="51" t="str">
        <f t="shared" si="58"/>
        <v>📁</v>
      </c>
      <c r="L81" s="85" t="s">
        <v>716</v>
      </c>
      <c r="M81" s="4" t="s">
        <v>699</v>
      </c>
      <c r="N81" s="49" t="str">
        <f t="shared" si="57"/>
        <v>👆</v>
      </c>
      <c r="O81" s="71"/>
      <c r="P81" s="138"/>
      <c r="Q81" s="138"/>
      <c r="R81" s="138"/>
      <c r="S81" s="141"/>
      <c r="T81" s="141"/>
      <c r="U81" s="141"/>
      <c r="V81" s="141"/>
      <c r="W81" s="141"/>
      <c r="X81" s="142"/>
      <c r="Y81" s="141"/>
      <c r="Z81" s="141"/>
    </row>
    <row r="82" spans="1:26" s="83" customFormat="1" ht="16.5" x14ac:dyDescent="0.2">
      <c r="A82" s="138"/>
      <c r="B82" s="70"/>
      <c r="C82" s="102">
        <v>46141</v>
      </c>
      <c r="D82" s="103" t="s">
        <v>674</v>
      </c>
      <c r="E82" s="104" t="s">
        <v>20</v>
      </c>
      <c r="F82" s="103"/>
      <c r="G82" s="103" t="s">
        <v>462</v>
      </c>
      <c r="H82" s="104"/>
      <c r="I82" s="105"/>
      <c r="J82" s="106" t="str">
        <f t="shared" si="61"/>
        <v>Hello, please can you send images/estimate for DV14 YCK (Vauxhall Corsa)? Client name is . Thank you</v>
      </c>
      <c r="K82" s="51" t="str">
        <f t="shared" si="58"/>
        <v>📁</v>
      </c>
      <c r="L82" s="115" t="s">
        <v>676</v>
      </c>
      <c r="M82" s="107" t="s">
        <v>675</v>
      </c>
      <c r="N82" s="49" t="str">
        <f t="shared" si="57"/>
        <v>👆</v>
      </c>
      <c r="O82" s="71"/>
      <c r="P82" s="138"/>
      <c r="Q82" s="138"/>
      <c r="R82" s="138"/>
      <c r="S82" s="141"/>
      <c r="T82" s="141"/>
      <c r="U82" s="141"/>
      <c r="V82" s="141"/>
      <c r="W82" s="141"/>
      <c r="X82" s="142"/>
      <c r="Y82" s="141"/>
      <c r="Z82" s="141"/>
    </row>
    <row r="83" spans="1:26" s="83" customFormat="1" ht="16.5" x14ac:dyDescent="0.2">
      <c r="A83" s="138"/>
      <c r="B83" s="70"/>
      <c r="C83" s="102">
        <v>46141</v>
      </c>
      <c r="D83" s="103" t="s">
        <v>728</v>
      </c>
      <c r="E83" s="104" t="s">
        <v>729</v>
      </c>
      <c r="F83" s="103" t="s">
        <v>730</v>
      </c>
      <c r="G83" s="103"/>
      <c r="H83" s="104"/>
      <c r="I83" s="105"/>
      <c r="J83" s="106" t="str">
        <f t="shared" si="61"/>
        <v>Hello, please can you send images/estimate for FJ64OCU ()? Client name is Tasbeer Hussain. Thank you</v>
      </c>
      <c r="K83" s="51" t="str">
        <f t="shared" ref="K83:K90" si="62">HYPERLINK("#","📁")</f>
        <v>📁</v>
      </c>
      <c r="L83" s="85"/>
      <c r="M83" s="107" t="s">
        <v>731</v>
      </c>
      <c r="N83" s="49" t="str">
        <f t="shared" si="57"/>
        <v>👆</v>
      </c>
      <c r="O83" s="71"/>
      <c r="P83" s="138"/>
      <c r="Q83" s="138"/>
      <c r="R83" s="138"/>
      <c r="S83" s="141"/>
      <c r="T83" s="141"/>
      <c r="U83" s="141"/>
      <c r="V83" s="141"/>
      <c r="W83" s="141"/>
      <c r="X83" s="142"/>
      <c r="Y83" s="141"/>
      <c r="Z83" s="141"/>
    </row>
    <row r="84" spans="1:26" s="83" customFormat="1" ht="16.5" x14ac:dyDescent="0.2">
      <c r="A84" s="138"/>
      <c r="B84" s="70"/>
      <c r="C84" s="102">
        <v>46141</v>
      </c>
      <c r="D84" s="39" t="s">
        <v>732</v>
      </c>
      <c r="E84" s="84" t="s">
        <v>729</v>
      </c>
      <c r="F84" s="39" t="s">
        <v>733</v>
      </c>
      <c r="G84" s="39"/>
      <c r="H84" s="84"/>
      <c r="I84" s="9"/>
      <c r="J84" s="10" t="str">
        <f t="shared" si="61"/>
        <v>Hello, please can you send images/estimate for PV19UNK ()? Client name is Mohammed Asid. Thank you</v>
      </c>
      <c r="K84" s="53" t="str">
        <f t="shared" si="62"/>
        <v>📁</v>
      </c>
      <c r="L84" s="85"/>
      <c r="M84" s="86" t="s">
        <v>734</v>
      </c>
      <c r="N84" s="49" t="str">
        <f t="shared" si="57"/>
        <v>👆</v>
      </c>
      <c r="O84" s="71"/>
      <c r="P84" s="138"/>
      <c r="Q84" s="138"/>
      <c r="R84" s="138"/>
      <c r="S84" s="141"/>
      <c r="T84" s="141"/>
      <c r="U84" s="141"/>
      <c r="V84" s="141"/>
      <c r="W84" s="141"/>
      <c r="X84" s="142"/>
      <c r="Y84" s="141"/>
      <c r="Z84" s="141"/>
    </row>
    <row r="85" spans="1:26" s="83" customFormat="1" ht="16.5" x14ac:dyDescent="0.2">
      <c r="A85" s="138"/>
      <c r="B85" s="70"/>
      <c r="C85" s="102">
        <v>46136</v>
      </c>
      <c r="D85" s="103" t="s">
        <v>556</v>
      </c>
      <c r="E85" s="104" t="s">
        <v>10</v>
      </c>
      <c r="F85" s="103"/>
      <c r="G85" s="103" t="s">
        <v>511</v>
      </c>
      <c r="H85" s="104"/>
      <c r="I85" s="105"/>
      <c r="J85" s="106" t="str">
        <f t="shared" si="61"/>
        <v>Hello, please can you send images/estimate for EA21 OHB (Hyundai Ioniq)? Client name is . Thank you</v>
      </c>
      <c r="K85" s="51" t="str">
        <f t="shared" si="62"/>
        <v>📁</v>
      </c>
      <c r="L85" s="85" t="s">
        <v>558</v>
      </c>
      <c r="M85" s="109" t="s">
        <v>551</v>
      </c>
      <c r="N85" s="49" t="str">
        <f t="shared" si="57"/>
        <v>👆</v>
      </c>
      <c r="O85" s="71"/>
      <c r="P85" s="138"/>
      <c r="Q85" s="138"/>
      <c r="R85" s="138"/>
      <c r="S85" s="141"/>
      <c r="T85" s="141"/>
      <c r="U85" s="141"/>
      <c r="V85" s="141"/>
      <c r="W85" s="141"/>
      <c r="X85" s="142"/>
      <c r="Y85" s="141"/>
      <c r="Z85" s="141"/>
    </row>
    <row r="86" spans="1:26" s="83" customFormat="1" ht="16.5" x14ac:dyDescent="0.2">
      <c r="A86" s="138"/>
      <c r="B86" s="70"/>
      <c r="C86" s="102">
        <v>46140</v>
      </c>
      <c r="D86" s="103" t="s">
        <v>625</v>
      </c>
      <c r="E86" s="104"/>
      <c r="F86" s="103"/>
      <c r="G86" s="103"/>
      <c r="H86" s="104"/>
      <c r="I86" s="105"/>
      <c r="J86" s="106" t="str">
        <f t="shared" si="61"/>
        <v>Hello, please can you send images/estimate for YR15 NKA ()? Client name is . Thank you</v>
      </c>
      <c r="K86" s="51" t="str">
        <f t="shared" si="62"/>
        <v>📁</v>
      </c>
      <c r="L86" s="85" t="s">
        <v>627</v>
      </c>
      <c r="M86" s="107" t="s">
        <v>626</v>
      </c>
      <c r="N86" s="49" t="str">
        <f t="shared" si="57"/>
        <v>👆</v>
      </c>
      <c r="O86" s="71"/>
      <c r="P86" s="138"/>
      <c r="Q86" s="138"/>
      <c r="R86" s="138"/>
      <c r="S86" s="141"/>
      <c r="T86" s="141"/>
      <c r="U86" s="141"/>
      <c r="V86" s="141"/>
      <c r="W86" s="141"/>
      <c r="X86" s="142"/>
      <c r="Y86" s="141"/>
      <c r="Z86" s="141"/>
    </row>
    <row r="87" spans="1:26" s="83" customFormat="1" ht="16.5" x14ac:dyDescent="0.2">
      <c r="A87" s="138"/>
      <c r="B87" s="70"/>
      <c r="C87" s="102">
        <v>46141</v>
      </c>
      <c r="D87" s="103" t="s">
        <v>735</v>
      </c>
      <c r="E87" s="104" t="s">
        <v>130</v>
      </c>
      <c r="F87" s="103" t="s">
        <v>736</v>
      </c>
      <c r="G87" s="103" t="s">
        <v>737</v>
      </c>
      <c r="H87" s="104"/>
      <c r="I87" s="105"/>
      <c r="J87" s="106" t="str">
        <f t="shared" si="61"/>
        <v>Hello, please can you send images/estimate for CX15 LKK (Volkswagen)? Client name is Arshad Bibi. Thank you</v>
      </c>
      <c r="K87" s="51" t="str">
        <f t="shared" si="62"/>
        <v>📁</v>
      </c>
      <c r="L87" s="85" t="s">
        <v>738</v>
      </c>
      <c r="M87" s="107" t="s">
        <v>706</v>
      </c>
      <c r="N87" s="49" t="str">
        <f t="shared" si="57"/>
        <v>👆</v>
      </c>
      <c r="O87" s="71"/>
      <c r="P87" s="138"/>
      <c r="Q87" s="138"/>
      <c r="R87" s="138"/>
      <c r="S87" s="141"/>
      <c r="T87" s="141"/>
      <c r="U87" s="141"/>
      <c r="V87" s="141"/>
      <c r="W87" s="141"/>
      <c r="X87" s="142"/>
      <c r="Y87" s="141"/>
      <c r="Z87" s="141"/>
    </row>
    <row r="88" spans="1:26" s="83" customFormat="1" ht="16.5" x14ac:dyDescent="0.2">
      <c r="A88" s="138"/>
      <c r="B88" s="70"/>
      <c r="C88" s="2">
        <v>46141</v>
      </c>
      <c r="D88" s="39" t="s">
        <v>721</v>
      </c>
      <c r="E88" s="84" t="s">
        <v>64</v>
      </c>
      <c r="F88" s="39" t="s">
        <v>722</v>
      </c>
      <c r="G88" s="39"/>
      <c r="H88" s="84"/>
      <c r="I88" s="9"/>
      <c r="J88" s="10" t="str">
        <f t="shared" si="61"/>
        <v>Hello, please can you send images/estimate for AV59DXR ()? Client name is Bilal Ali. Thank you</v>
      </c>
      <c r="K88" s="51" t="str">
        <f t="shared" si="62"/>
        <v>📁</v>
      </c>
      <c r="L88" s="85" t="s">
        <v>741</v>
      </c>
      <c r="M88" s="4" t="s">
        <v>740</v>
      </c>
      <c r="N88" s="49" t="str">
        <f t="shared" si="57"/>
        <v>👆</v>
      </c>
      <c r="O88" s="71"/>
      <c r="P88" s="138"/>
      <c r="Q88" s="138"/>
      <c r="R88" s="138"/>
      <c r="S88" s="141"/>
      <c r="T88" s="141"/>
      <c r="U88" s="141"/>
      <c r="V88" s="141"/>
      <c r="W88" s="141"/>
      <c r="X88" s="142"/>
      <c r="Y88" s="141"/>
      <c r="Z88" s="141"/>
    </row>
    <row r="89" spans="1:26" s="83" customFormat="1" ht="16.5" x14ac:dyDescent="0.2">
      <c r="A89" s="138"/>
      <c r="B89" s="70"/>
      <c r="C89" s="102"/>
      <c r="D89" s="39"/>
      <c r="E89" s="84"/>
      <c r="F89" s="39"/>
      <c r="G89" s="39"/>
      <c r="H89" s="84"/>
      <c r="I89" s="9"/>
      <c r="J89" s="10" t="str">
        <f t="shared" si="61"/>
        <v>Hello, please can you send images/estimate for  ()? Client name is . Thank you</v>
      </c>
      <c r="K89" s="53" t="str">
        <f t="shared" si="62"/>
        <v>📁</v>
      </c>
      <c r="L89" s="85"/>
      <c r="M89" s="86"/>
      <c r="N89" s="49" t="str">
        <f t="shared" si="57"/>
        <v>👆</v>
      </c>
      <c r="O89" s="71"/>
      <c r="P89" s="138"/>
      <c r="Q89" s="138"/>
      <c r="R89" s="138"/>
      <c r="S89" s="141"/>
      <c r="T89" s="141"/>
      <c r="U89" s="141"/>
      <c r="V89" s="141"/>
      <c r="W89" s="141"/>
      <c r="X89" s="142"/>
      <c r="Y89" s="141"/>
      <c r="Z89" s="141"/>
    </row>
    <row r="90" spans="1:26" s="83" customFormat="1" ht="16.5" x14ac:dyDescent="0.2">
      <c r="A90" s="138"/>
      <c r="B90" s="70"/>
      <c r="C90" s="102"/>
      <c r="D90" s="39"/>
      <c r="E90" s="84"/>
      <c r="F90" s="39"/>
      <c r="G90" s="39"/>
      <c r="H90" s="84"/>
      <c r="I90" s="9"/>
      <c r="J90" s="10" t="str">
        <f t="shared" si="61"/>
        <v>Hello, please can you send images/estimate for  ()? Client name is . Thank you</v>
      </c>
      <c r="K90" s="53" t="str">
        <f t="shared" si="62"/>
        <v>📁</v>
      </c>
      <c r="L90" s="85"/>
      <c r="M90" s="86"/>
      <c r="N90" s="49" t="str">
        <f t="shared" si="57"/>
        <v>👆</v>
      </c>
      <c r="O90" s="71"/>
      <c r="P90" s="138"/>
      <c r="Q90" s="138"/>
      <c r="R90" s="138"/>
      <c r="S90" s="141"/>
      <c r="T90" s="141"/>
      <c r="U90" s="141"/>
      <c r="V90" s="141"/>
      <c r="W90" s="141"/>
      <c r="X90" s="142"/>
      <c r="Y90" s="141"/>
      <c r="Z90" s="141"/>
    </row>
    <row r="91" spans="1:26" ht="34.5" customHeight="1" x14ac:dyDescent="0.2">
      <c r="A91" s="138"/>
      <c r="B91" s="18"/>
      <c r="C91" s="7"/>
      <c r="D91" s="65"/>
      <c r="E91" s="65"/>
      <c r="F91" s="7"/>
      <c r="G91" s="7"/>
      <c r="H91" s="66"/>
      <c r="I91" s="112" t="s">
        <v>26</v>
      </c>
      <c r="J91" s="67"/>
      <c r="K91" s="68"/>
      <c r="L91" s="21"/>
      <c r="M91" s="69"/>
      <c r="N91" s="69"/>
      <c r="O91" s="19"/>
      <c r="P91" s="138"/>
      <c r="Q91" s="138"/>
      <c r="R91" s="138"/>
      <c r="S91" s="141"/>
      <c r="T91" s="141"/>
      <c r="U91" s="141"/>
      <c r="V91" s="141"/>
      <c r="W91" s="141"/>
      <c r="X91" s="142"/>
      <c r="Y91" s="141"/>
      <c r="Z91" s="141"/>
    </row>
    <row r="92" spans="1:26" ht="15" customHeight="1" x14ac:dyDescent="0.2">
      <c r="A92" s="138"/>
      <c r="B92" s="6"/>
      <c r="C92" s="12"/>
      <c r="D92" s="12"/>
      <c r="E92" s="12"/>
      <c r="F92" s="12"/>
      <c r="G92" s="12"/>
      <c r="H92" s="16"/>
      <c r="I92" s="12"/>
      <c r="J92" s="12"/>
      <c r="K92" s="12"/>
      <c r="L92" s="12"/>
      <c r="M92" s="12"/>
      <c r="N92" s="11"/>
      <c r="O92" s="11"/>
      <c r="P92" s="138"/>
      <c r="Q92" s="138"/>
      <c r="R92" s="138"/>
      <c r="S92" s="141"/>
      <c r="T92" s="141"/>
      <c r="U92" s="141"/>
      <c r="V92" s="141"/>
      <c r="W92" s="141"/>
      <c r="X92" s="142"/>
      <c r="Y92" s="141"/>
      <c r="Z92" s="141"/>
    </row>
    <row r="93" spans="1:26" x14ac:dyDescent="0.2">
      <c r="A93" s="138"/>
      <c r="B93" s="6"/>
      <c r="C93" s="20"/>
      <c r="D93" s="7"/>
      <c r="E93" s="7"/>
      <c r="F93" s="7"/>
      <c r="G93" s="7"/>
      <c r="H93" s="7"/>
      <c r="I93" s="21"/>
      <c r="J93" s="21"/>
      <c r="K93" s="21"/>
      <c r="L93" s="21"/>
      <c r="M93" s="7"/>
      <c r="N93" s="7"/>
      <c r="P93" s="138"/>
      <c r="Q93" s="138"/>
      <c r="R93" s="138"/>
      <c r="S93" s="141"/>
      <c r="T93" s="141"/>
      <c r="U93" s="141"/>
      <c r="V93" s="141"/>
      <c r="W93" s="141"/>
      <c r="X93" s="142"/>
      <c r="Y93" s="141"/>
      <c r="Z93" s="141"/>
    </row>
    <row r="94" spans="1:26" x14ac:dyDescent="0.2">
      <c r="A94" s="138"/>
      <c r="B94" s="6"/>
      <c r="C94" s="20" t="s">
        <v>488</v>
      </c>
      <c r="D94" s="7"/>
      <c r="E94" s="7"/>
      <c r="F94" s="7"/>
      <c r="G94" s="7"/>
      <c r="H94" s="7"/>
      <c r="I94" s="21"/>
      <c r="J94" s="21"/>
      <c r="K94" s="21"/>
      <c r="L94" s="21"/>
      <c r="M94" s="7"/>
      <c r="N94" s="7"/>
      <c r="P94" s="138"/>
      <c r="Q94" s="138"/>
      <c r="R94" s="138"/>
      <c r="S94" s="141"/>
      <c r="T94" s="141"/>
      <c r="U94" s="141"/>
      <c r="V94" s="141"/>
      <c r="W94" s="141"/>
      <c r="X94" s="142"/>
      <c r="Y94" s="141"/>
      <c r="Z94" s="141"/>
    </row>
    <row r="95" spans="1:26" x14ac:dyDescent="0.2">
      <c r="A95" s="138"/>
      <c r="B95" s="6"/>
      <c r="C95" s="20"/>
      <c r="D95" s="7"/>
      <c r="E95" s="7"/>
      <c r="F95" s="7"/>
      <c r="G95" s="7"/>
      <c r="H95" s="7"/>
      <c r="I95" s="21"/>
      <c r="J95" s="21"/>
      <c r="K95" s="21"/>
      <c r="L95" s="21"/>
      <c r="M95" s="7"/>
      <c r="N95" s="7"/>
      <c r="P95" s="138"/>
      <c r="Q95" s="138"/>
      <c r="R95" s="138"/>
      <c r="S95" s="141"/>
      <c r="T95" s="141"/>
      <c r="U95" s="141"/>
      <c r="V95" s="141"/>
      <c r="W95" s="141"/>
      <c r="X95" s="142"/>
      <c r="Y95" s="141"/>
      <c r="Z95" s="141"/>
    </row>
    <row r="96" spans="1:26" x14ac:dyDescent="0.2">
      <c r="A96" s="138"/>
      <c r="B96" s="6"/>
      <c r="C96" s="20"/>
      <c r="D96" s="7"/>
      <c r="E96" s="7"/>
      <c r="F96" s="7"/>
      <c r="G96" s="7"/>
      <c r="H96" s="7"/>
      <c r="I96" s="21"/>
      <c r="J96" s="21"/>
      <c r="K96" s="21"/>
      <c r="L96" s="21"/>
      <c r="M96" s="7"/>
      <c r="N96" s="7"/>
      <c r="P96" s="138"/>
      <c r="Q96" s="138"/>
      <c r="R96" s="138"/>
      <c r="S96" s="141"/>
      <c r="T96" s="141"/>
      <c r="U96" s="141"/>
      <c r="V96" s="141"/>
      <c r="W96" s="141"/>
      <c r="X96" s="142"/>
      <c r="Y96" s="141"/>
      <c r="Z96" s="141"/>
    </row>
    <row r="97" spans="1:26" x14ac:dyDescent="0.2">
      <c r="A97" s="138"/>
      <c r="B97" s="6"/>
      <c r="C97" s="20"/>
      <c r="D97" s="7"/>
      <c r="E97" s="7"/>
      <c r="G97" s="7"/>
      <c r="H97" s="7"/>
      <c r="I97" s="21"/>
      <c r="J97" s="21"/>
      <c r="K97" s="21"/>
      <c r="L97" s="21"/>
      <c r="M97" s="7"/>
      <c r="N97" s="7"/>
      <c r="P97" s="138"/>
      <c r="Q97" s="138"/>
      <c r="R97" s="138"/>
      <c r="S97" s="141"/>
      <c r="T97" s="141"/>
      <c r="U97" s="141"/>
      <c r="V97" s="141"/>
      <c r="W97" s="141"/>
      <c r="X97" s="142"/>
      <c r="Y97" s="141"/>
      <c r="Z97" s="141"/>
    </row>
    <row r="98" spans="1:26" x14ac:dyDescent="0.2">
      <c r="A98" s="138"/>
      <c r="B98" s="6"/>
      <c r="C98" s="20"/>
      <c r="D98" s="7"/>
      <c r="E98" s="7"/>
      <c r="F98" s="7"/>
      <c r="G98" s="7"/>
      <c r="H98" s="7"/>
      <c r="I98" s="21"/>
      <c r="J98" s="21"/>
      <c r="K98" s="21"/>
      <c r="L98" s="21"/>
      <c r="M98" s="7"/>
      <c r="N98" s="7"/>
      <c r="P98" s="138"/>
      <c r="Q98" s="138"/>
      <c r="R98" s="138"/>
      <c r="S98" s="141"/>
      <c r="T98" s="141"/>
      <c r="U98" s="141"/>
      <c r="V98" s="141"/>
      <c r="W98" s="141"/>
      <c r="X98" s="142"/>
      <c r="Y98" s="141"/>
      <c r="Z98" s="141"/>
    </row>
    <row r="99" spans="1:26" x14ac:dyDescent="0.2">
      <c r="A99" s="138"/>
      <c r="B99" s="6"/>
      <c r="C99" s="20"/>
      <c r="D99" s="7"/>
      <c r="E99" s="7"/>
      <c r="F99" s="7"/>
      <c r="G99" s="7"/>
      <c r="H99" s="7"/>
      <c r="I99" s="21"/>
      <c r="J99" s="21"/>
      <c r="K99" s="21"/>
      <c r="L99" s="21"/>
      <c r="M99" s="7"/>
      <c r="N99" s="7"/>
      <c r="P99" s="138"/>
      <c r="Q99" s="138"/>
      <c r="R99" s="138"/>
      <c r="S99" s="141"/>
      <c r="T99" s="141"/>
      <c r="U99" s="141"/>
      <c r="V99" s="141"/>
      <c r="W99" s="141"/>
      <c r="X99" s="142"/>
      <c r="Y99" s="141"/>
      <c r="Z99" s="141"/>
    </row>
    <row r="100" spans="1:26" x14ac:dyDescent="0.2">
      <c r="A100" s="138"/>
      <c r="B100" s="6"/>
      <c r="C100" s="20"/>
      <c r="D100" s="7"/>
      <c r="E100" s="7"/>
      <c r="F100" s="7"/>
      <c r="G100" s="7"/>
      <c r="H100" s="7"/>
      <c r="I100" s="21"/>
      <c r="J100" s="21"/>
      <c r="K100" s="21"/>
      <c r="L100" s="21"/>
      <c r="M100" s="7"/>
      <c r="N100" s="7"/>
      <c r="P100" s="138"/>
      <c r="Q100" s="138"/>
      <c r="R100" s="138"/>
      <c r="S100" s="141"/>
      <c r="T100" s="141"/>
      <c r="U100" s="141"/>
      <c r="V100" s="141"/>
      <c r="W100" s="141"/>
      <c r="X100" s="142"/>
      <c r="Y100" s="141"/>
      <c r="Z100" s="141"/>
    </row>
    <row r="101" spans="1:26" x14ac:dyDescent="0.2">
      <c r="A101" s="138"/>
      <c r="B101" s="6"/>
      <c r="C101" s="20"/>
      <c r="D101" s="7"/>
      <c r="E101" s="7"/>
      <c r="F101" s="7"/>
      <c r="G101" s="7"/>
      <c r="H101" s="7"/>
      <c r="I101" s="21"/>
      <c r="J101" s="21"/>
      <c r="K101" s="21"/>
      <c r="L101" s="21"/>
      <c r="M101" s="7"/>
      <c r="N101" s="7"/>
      <c r="P101" s="138"/>
      <c r="Q101" s="138"/>
      <c r="R101" s="138"/>
      <c r="S101" s="141"/>
      <c r="T101" s="141"/>
      <c r="U101" s="141"/>
      <c r="V101" s="141"/>
      <c r="W101" s="141"/>
      <c r="X101" s="142"/>
      <c r="Y101" s="141"/>
      <c r="Z101" s="141"/>
    </row>
    <row r="102" spans="1:26" x14ac:dyDescent="0.2">
      <c r="A102" s="138"/>
      <c r="B102" s="6"/>
      <c r="C102" s="20" t="s">
        <v>488</v>
      </c>
      <c r="D102" s="7"/>
      <c r="E102" s="7"/>
      <c r="F102" s="7"/>
      <c r="G102" s="7"/>
      <c r="H102" s="7"/>
      <c r="I102" s="21"/>
      <c r="J102" s="21"/>
      <c r="K102" s="21"/>
      <c r="L102" s="21"/>
      <c r="M102" s="7"/>
      <c r="N102" s="7"/>
      <c r="P102" s="138"/>
      <c r="Q102" s="138"/>
      <c r="R102" s="138"/>
      <c r="S102" s="141"/>
      <c r="T102" s="141"/>
      <c r="U102" s="141"/>
      <c r="V102" s="141"/>
      <c r="W102" s="141"/>
      <c r="X102" s="142"/>
      <c r="Y102" s="141"/>
      <c r="Z102" s="141"/>
    </row>
    <row r="103" spans="1:26" x14ac:dyDescent="0.2">
      <c r="A103" s="138"/>
      <c r="B103" s="6"/>
      <c r="C103" s="20"/>
      <c r="D103" s="7"/>
      <c r="E103" s="7"/>
      <c r="F103" s="7"/>
      <c r="G103" s="7"/>
      <c r="H103" s="7"/>
      <c r="I103" s="21"/>
      <c r="J103" s="21"/>
      <c r="K103" s="21"/>
      <c r="L103" s="21"/>
      <c r="M103" s="7"/>
      <c r="N103" s="7"/>
      <c r="P103" s="138"/>
      <c r="Q103" s="138"/>
      <c r="R103" s="138"/>
      <c r="S103" s="141"/>
      <c r="T103" s="141"/>
      <c r="U103" s="141"/>
      <c r="V103" s="141"/>
      <c r="W103" s="141"/>
      <c r="X103" s="142"/>
      <c r="Y103" s="141"/>
      <c r="Z103" s="141"/>
    </row>
    <row r="104" spans="1:26" x14ac:dyDescent="0.2">
      <c r="A104" s="138"/>
      <c r="B104" s="6"/>
      <c r="C104" s="20"/>
      <c r="D104" s="7"/>
      <c r="E104" s="7"/>
      <c r="F104" s="7"/>
      <c r="G104" s="7"/>
      <c r="H104" s="7"/>
      <c r="I104" s="21"/>
      <c r="J104" s="21"/>
      <c r="K104" s="21"/>
      <c r="L104" s="21"/>
      <c r="M104" s="7"/>
      <c r="N104" s="7"/>
      <c r="P104" s="138"/>
      <c r="Q104" s="138"/>
      <c r="R104" s="138"/>
      <c r="S104" s="141"/>
      <c r="T104" s="141"/>
      <c r="U104" s="141"/>
      <c r="V104" s="141"/>
      <c r="W104" s="141"/>
      <c r="X104" s="142"/>
      <c r="Y104" s="141"/>
      <c r="Z104" s="141"/>
    </row>
    <row r="105" spans="1:26" x14ac:dyDescent="0.2">
      <c r="A105" s="138"/>
      <c r="B105" s="6"/>
      <c r="C105" s="20"/>
      <c r="D105" s="7"/>
      <c r="E105" s="7"/>
      <c r="F105" s="7"/>
      <c r="G105" s="7"/>
      <c r="H105" s="7"/>
      <c r="I105" s="21"/>
      <c r="J105" s="21"/>
      <c r="K105" s="21"/>
      <c r="L105" s="21"/>
      <c r="M105" s="7"/>
      <c r="N105" s="7"/>
      <c r="P105" s="138"/>
      <c r="Q105" s="138"/>
      <c r="R105" s="138"/>
      <c r="S105" s="141"/>
      <c r="T105" s="141"/>
      <c r="U105" s="141"/>
      <c r="V105" s="141"/>
      <c r="W105" s="141"/>
      <c r="X105" s="142"/>
      <c r="Y105" s="141"/>
      <c r="Z105" s="141"/>
    </row>
    <row r="106" spans="1:26" x14ac:dyDescent="0.2">
      <c r="A106" s="138"/>
      <c r="B106" s="6"/>
      <c r="C106" s="20"/>
      <c r="D106" s="7"/>
      <c r="E106" s="7"/>
      <c r="F106" s="7"/>
      <c r="G106" s="7"/>
      <c r="H106" s="7"/>
      <c r="I106" s="21"/>
      <c r="J106" s="21"/>
      <c r="K106" s="21"/>
      <c r="L106" s="21"/>
      <c r="M106" s="7"/>
      <c r="N106" s="7"/>
      <c r="P106" s="138"/>
      <c r="Q106" s="138"/>
      <c r="R106" s="138"/>
      <c r="S106" s="141"/>
      <c r="T106" s="141"/>
      <c r="U106" s="141"/>
      <c r="V106" s="141"/>
      <c r="W106" s="141"/>
      <c r="X106" s="142"/>
      <c r="Y106" s="141"/>
      <c r="Z106" s="141"/>
    </row>
    <row r="107" spans="1:26" x14ac:dyDescent="0.2">
      <c r="A107" s="138"/>
      <c r="B107" s="6"/>
      <c r="C107" s="20"/>
      <c r="D107" s="7"/>
      <c r="E107" s="7"/>
      <c r="F107" s="7"/>
      <c r="G107" s="7"/>
      <c r="H107" s="7"/>
      <c r="I107" s="21"/>
      <c r="J107" s="21"/>
      <c r="K107" s="21"/>
      <c r="L107" s="21"/>
      <c r="M107" s="7"/>
      <c r="N107" s="7"/>
      <c r="P107" s="138"/>
      <c r="Q107" s="138"/>
      <c r="R107" s="138"/>
      <c r="S107" s="141"/>
      <c r="T107" s="141"/>
      <c r="U107" s="141"/>
      <c r="V107" s="141"/>
      <c r="W107" s="141"/>
      <c r="X107" s="142"/>
      <c r="Y107" s="141"/>
      <c r="Z107" s="141"/>
    </row>
    <row r="108" spans="1:26" x14ac:dyDescent="0.2">
      <c r="A108" s="138"/>
      <c r="B108" s="6"/>
      <c r="C108" s="20"/>
      <c r="D108" s="7"/>
      <c r="E108" s="7"/>
      <c r="F108" s="7"/>
      <c r="G108" s="7"/>
      <c r="H108" s="7"/>
      <c r="I108" s="21"/>
      <c r="J108" s="21"/>
      <c r="K108" s="21"/>
      <c r="L108" s="21"/>
      <c r="M108" s="7"/>
      <c r="N108" s="7"/>
      <c r="P108" s="138"/>
      <c r="Q108" s="138"/>
      <c r="R108" s="138"/>
      <c r="S108" s="141"/>
      <c r="T108" s="141"/>
      <c r="U108" s="141"/>
      <c r="V108" s="141"/>
      <c r="W108" s="141"/>
      <c r="X108" s="142"/>
      <c r="Y108" s="141"/>
      <c r="Z108" s="141"/>
    </row>
    <row r="109" spans="1:26" x14ac:dyDescent="0.2">
      <c r="A109" s="138"/>
      <c r="B109" s="6"/>
      <c r="C109" s="20"/>
      <c r="D109" s="7"/>
      <c r="E109" s="7"/>
      <c r="F109" s="7"/>
      <c r="G109" s="7"/>
      <c r="H109" s="7"/>
      <c r="I109" s="21"/>
      <c r="J109" s="21"/>
      <c r="K109" s="21"/>
      <c r="L109" s="21"/>
      <c r="M109" s="7"/>
      <c r="N109" s="7"/>
      <c r="P109" s="138"/>
      <c r="Q109" s="138"/>
      <c r="R109" s="138"/>
      <c r="S109" s="141"/>
      <c r="T109" s="141"/>
      <c r="U109" s="141"/>
      <c r="V109" s="141"/>
      <c r="W109" s="141"/>
      <c r="X109" s="142"/>
      <c r="Y109" s="141"/>
      <c r="Z109" s="141"/>
    </row>
    <row r="110" spans="1:26" x14ac:dyDescent="0.2">
      <c r="A110" s="138"/>
      <c r="B110" s="6"/>
      <c r="C110" s="20"/>
      <c r="D110" s="7"/>
      <c r="E110" s="7"/>
      <c r="F110" s="7"/>
      <c r="G110" s="7"/>
      <c r="H110" s="7"/>
      <c r="I110" s="21"/>
      <c r="J110" s="21"/>
      <c r="K110" s="21"/>
      <c r="L110" s="21"/>
      <c r="M110" s="7"/>
      <c r="N110" s="7"/>
      <c r="P110" s="138"/>
      <c r="Q110" s="138"/>
      <c r="R110" s="138"/>
      <c r="S110" s="141"/>
      <c r="T110" s="141"/>
      <c r="U110" s="141"/>
      <c r="V110" s="141"/>
      <c r="W110" s="141"/>
      <c r="X110" s="142"/>
      <c r="Y110" s="141"/>
      <c r="Z110" s="141"/>
    </row>
    <row r="111" spans="1:26" x14ac:dyDescent="0.2">
      <c r="A111" s="138"/>
      <c r="B111" s="6"/>
      <c r="C111" s="20"/>
      <c r="D111" s="7"/>
      <c r="E111" s="7"/>
      <c r="F111" s="7"/>
      <c r="G111" s="7"/>
      <c r="H111" s="7"/>
      <c r="I111" s="21"/>
      <c r="J111" s="21"/>
      <c r="K111" s="21"/>
      <c r="L111" s="21"/>
      <c r="M111" s="7"/>
      <c r="N111" s="7"/>
      <c r="P111" s="138"/>
      <c r="Q111" s="138"/>
      <c r="R111" s="138"/>
      <c r="S111" s="141"/>
      <c r="T111" s="141"/>
      <c r="U111" s="141"/>
      <c r="V111" s="141"/>
      <c r="W111" s="141"/>
      <c r="X111" s="142"/>
      <c r="Y111" s="141"/>
      <c r="Z111" s="141"/>
    </row>
    <row r="112" spans="1:26" x14ac:dyDescent="0.2">
      <c r="A112" s="138"/>
      <c r="B112" s="6"/>
      <c r="C112" s="20"/>
      <c r="D112" s="7"/>
      <c r="E112" s="7"/>
      <c r="F112" s="7"/>
      <c r="G112" s="7"/>
      <c r="H112" s="7"/>
      <c r="I112" s="21"/>
      <c r="J112" s="21"/>
      <c r="K112" s="21"/>
      <c r="L112" s="21"/>
      <c r="M112" s="7"/>
      <c r="N112" s="7"/>
      <c r="P112" s="138"/>
      <c r="Q112" s="138"/>
      <c r="R112" s="138"/>
      <c r="S112" s="141"/>
      <c r="T112" s="141"/>
      <c r="U112" s="141"/>
      <c r="V112" s="141"/>
      <c r="W112" s="141"/>
      <c r="X112" s="142"/>
      <c r="Y112" s="141"/>
      <c r="Z112" s="141"/>
    </row>
    <row r="113" spans="1:26" x14ac:dyDescent="0.2">
      <c r="A113" s="138"/>
      <c r="B113" s="6"/>
      <c r="C113" s="20"/>
      <c r="D113" s="7"/>
      <c r="E113" s="7"/>
      <c r="F113" s="7"/>
      <c r="G113" s="7"/>
      <c r="H113" s="7"/>
      <c r="I113" s="21"/>
      <c r="J113" s="21"/>
      <c r="K113" s="21"/>
      <c r="L113" s="21"/>
      <c r="M113" s="7"/>
      <c r="N113" s="7"/>
      <c r="P113" s="138"/>
      <c r="Q113" s="138"/>
      <c r="R113" s="138"/>
      <c r="S113" s="141"/>
      <c r="T113" s="141"/>
      <c r="U113" s="141"/>
      <c r="V113" s="141"/>
      <c r="W113" s="141"/>
      <c r="X113" s="142"/>
      <c r="Y113" s="141"/>
      <c r="Z113" s="141"/>
    </row>
    <row r="114" spans="1:26" x14ac:dyDescent="0.2">
      <c r="A114" s="138"/>
      <c r="B114" s="6"/>
      <c r="C114" s="20"/>
      <c r="D114" s="7"/>
      <c r="E114" s="7"/>
      <c r="F114" s="7"/>
      <c r="G114" s="7"/>
      <c r="H114" s="7"/>
      <c r="I114" s="21"/>
      <c r="J114" s="21"/>
      <c r="K114" s="21"/>
      <c r="L114" s="21"/>
      <c r="M114" s="7"/>
      <c r="N114" s="7"/>
      <c r="P114" s="138"/>
      <c r="Q114" s="138"/>
      <c r="R114" s="138"/>
      <c r="S114" s="141"/>
      <c r="T114" s="141"/>
      <c r="U114" s="141"/>
      <c r="V114" s="141"/>
      <c r="W114" s="141"/>
      <c r="X114" s="142"/>
      <c r="Y114" s="141"/>
      <c r="Z114" s="141"/>
    </row>
    <row r="115" spans="1:26" x14ac:dyDescent="0.2">
      <c r="A115" s="138"/>
      <c r="B115" s="6"/>
      <c r="C115" s="20"/>
      <c r="D115" s="7"/>
      <c r="E115" s="7"/>
      <c r="F115" s="7"/>
      <c r="G115" s="7"/>
      <c r="H115" s="7"/>
      <c r="I115" s="21"/>
      <c r="J115" s="21"/>
      <c r="K115" s="21"/>
      <c r="L115" s="21"/>
      <c r="M115" s="7"/>
      <c r="N115" s="7"/>
      <c r="P115" s="138"/>
      <c r="Q115" s="138"/>
      <c r="R115" s="138"/>
      <c r="S115" s="141"/>
      <c r="T115" s="141"/>
      <c r="U115" s="141"/>
      <c r="V115" s="141"/>
      <c r="W115" s="141"/>
      <c r="X115" s="142"/>
      <c r="Y115" s="141"/>
      <c r="Z115" s="141"/>
    </row>
    <row r="116" spans="1:26" x14ac:dyDescent="0.2">
      <c r="A116" s="138"/>
      <c r="B116" s="6"/>
      <c r="C116" s="20"/>
      <c r="D116" s="7"/>
      <c r="E116" s="7"/>
      <c r="F116" s="7"/>
      <c r="G116" s="7"/>
      <c r="H116" s="7"/>
      <c r="I116" s="21"/>
      <c r="J116" s="21"/>
      <c r="K116" s="21"/>
      <c r="L116" s="21"/>
      <c r="M116" s="7"/>
      <c r="N116" s="7"/>
      <c r="P116" s="138"/>
      <c r="Q116" s="138"/>
      <c r="R116" s="138"/>
      <c r="S116" s="141"/>
      <c r="T116" s="141"/>
      <c r="U116" s="141"/>
      <c r="V116" s="141"/>
      <c r="W116" s="141"/>
      <c r="X116" s="142"/>
      <c r="Y116" s="141"/>
      <c r="Z116" s="141"/>
    </row>
    <row r="117" spans="1:26" x14ac:dyDescent="0.2">
      <c r="A117" s="138"/>
      <c r="B117" s="6"/>
      <c r="C117" s="20"/>
      <c r="D117" s="7"/>
      <c r="E117" s="7"/>
      <c r="F117" s="7"/>
      <c r="G117" s="7"/>
      <c r="H117" s="7"/>
      <c r="I117" s="21"/>
      <c r="J117" s="21"/>
      <c r="K117" s="21"/>
      <c r="L117" s="21"/>
      <c r="M117" s="7"/>
      <c r="N117" s="7"/>
      <c r="P117" s="138"/>
      <c r="Q117" s="138"/>
      <c r="R117" s="138"/>
      <c r="S117" s="141"/>
      <c r="T117" s="141"/>
      <c r="U117" s="141"/>
      <c r="V117" s="141"/>
      <c r="W117" s="141"/>
      <c r="X117" s="142"/>
      <c r="Y117" s="141"/>
      <c r="Z117" s="141"/>
    </row>
    <row r="118" spans="1:26" x14ac:dyDescent="0.2">
      <c r="A118" s="138"/>
      <c r="B118" s="6"/>
      <c r="C118" s="20"/>
      <c r="D118" s="7"/>
      <c r="E118" s="7"/>
      <c r="F118" s="7"/>
      <c r="G118" s="7"/>
      <c r="H118" s="7"/>
      <c r="I118" s="21"/>
      <c r="J118" s="21"/>
      <c r="K118" s="21"/>
      <c r="L118" s="21"/>
      <c r="M118" s="7"/>
      <c r="N118" s="7"/>
      <c r="P118" s="138"/>
      <c r="Q118" s="138"/>
      <c r="R118" s="138"/>
      <c r="S118" s="141"/>
      <c r="T118" s="141"/>
      <c r="U118" s="141"/>
      <c r="V118" s="141"/>
      <c r="W118" s="141"/>
      <c r="X118" s="142"/>
      <c r="Y118" s="141"/>
      <c r="Z118" s="141"/>
    </row>
    <row r="119" spans="1:26" x14ac:dyDescent="0.2">
      <c r="A119" s="138"/>
      <c r="B119" s="6"/>
      <c r="C119" s="20"/>
      <c r="D119" s="7"/>
      <c r="E119" s="7"/>
      <c r="F119" s="7"/>
      <c r="G119" s="7"/>
      <c r="H119" s="7"/>
      <c r="I119" s="21"/>
      <c r="J119" s="21"/>
      <c r="K119" s="21"/>
      <c r="L119" s="21"/>
      <c r="M119" s="7"/>
      <c r="N119" s="7"/>
      <c r="P119" s="138"/>
      <c r="Q119" s="138"/>
      <c r="R119" s="138"/>
      <c r="S119" s="141"/>
      <c r="T119" s="141"/>
      <c r="U119" s="141"/>
      <c r="V119" s="141"/>
      <c r="W119" s="141"/>
      <c r="X119" s="142"/>
      <c r="Y119" s="141"/>
      <c r="Z119" s="141"/>
    </row>
    <row r="120" spans="1:26" x14ac:dyDescent="0.2">
      <c r="A120" s="138"/>
      <c r="B120" s="6"/>
      <c r="C120" s="20"/>
      <c r="D120" s="7"/>
      <c r="E120" s="7"/>
      <c r="F120" s="7"/>
      <c r="G120" s="7"/>
      <c r="H120" s="7"/>
      <c r="I120" s="21"/>
      <c r="J120" s="21"/>
      <c r="K120" s="21"/>
      <c r="L120" s="21"/>
      <c r="M120" s="7"/>
      <c r="N120" s="7"/>
      <c r="P120" s="138"/>
      <c r="Q120" s="138"/>
      <c r="R120" s="138"/>
      <c r="S120" s="141"/>
      <c r="T120" s="141"/>
      <c r="U120" s="141"/>
      <c r="V120" s="141"/>
      <c r="W120" s="141"/>
      <c r="X120" s="142"/>
      <c r="Y120" s="141"/>
      <c r="Z120" s="141"/>
    </row>
    <row r="121" spans="1:26" x14ac:dyDescent="0.2">
      <c r="A121" s="138"/>
      <c r="B121" s="6"/>
      <c r="C121" s="20"/>
      <c r="D121" s="7"/>
      <c r="E121" s="7"/>
      <c r="F121" s="7"/>
      <c r="G121" s="7"/>
      <c r="H121" s="7"/>
      <c r="I121" s="21"/>
      <c r="J121" s="21"/>
      <c r="K121" s="21"/>
      <c r="L121" s="21"/>
      <c r="M121" s="7"/>
      <c r="N121" s="7"/>
      <c r="P121" s="138"/>
      <c r="Q121" s="138"/>
      <c r="R121" s="138"/>
      <c r="S121" s="141"/>
      <c r="T121" s="141"/>
      <c r="U121" s="141"/>
      <c r="V121" s="141"/>
      <c r="W121" s="141"/>
      <c r="X121" s="142"/>
      <c r="Y121" s="141"/>
      <c r="Z121" s="141"/>
    </row>
    <row r="122" spans="1:26" x14ac:dyDescent="0.2">
      <c r="A122" s="138"/>
      <c r="B122" s="6"/>
      <c r="C122" s="20"/>
      <c r="D122" s="7"/>
      <c r="E122" s="7"/>
      <c r="F122" s="7"/>
      <c r="G122" s="7"/>
      <c r="H122" s="7"/>
      <c r="I122" s="21"/>
      <c r="J122" s="21"/>
      <c r="K122" s="21"/>
      <c r="L122" s="21"/>
      <c r="M122" s="7"/>
      <c r="N122" s="7"/>
      <c r="P122" s="138"/>
      <c r="Q122" s="138"/>
      <c r="R122" s="138"/>
      <c r="S122" s="141"/>
      <c r="T122" s="141"/>
      <c r="U122" s="141"/>
      <c r="V122" s="141"/>
      <c r="W122" s="141"/>
      <c r="X122" s="142"/>
      <c r="Y122" s="141"/>
      <c r="Z122" s="141"/>
    </row>
    <row r="123" spans="1:26" x14ac:dyDescent="0.2">
      <c r="A123" s="138"/>
      <c r="B123" s="6"/>
      <c r="C123" s="20"/>
      <c r="D123" s="7"/>
      <c r="E123" s="7"/>
      <c r="F123" s="7"/>
      <c r="G123" s="7"/>
      <c r="H123" s="7"/>
      <c r="I123" s="21"/>
      <c r="J123" s="21"/>
      <c r="K123" s="21"/>
      <c r="L123" s="21"/>
      <c r="M123" s="7"/>
      <c r="N123" s="7"/>
      <c r="P123" s="138"/>
      <c r="Q123" s="138"/>
      <c r="R123" s="138"/>
      <c r="S123" s="141"/>
      <c r="T123" s="141"/>
      <c r="U123" s="141"/>
      <c r="V123" s="141"/>
      <c r="W123" s="141"/>
      <c r="X123" s="142"/>
      <c r="Y123" s="141"/>
      <c r="Z123" s="141"/>
    </row>
    <row r="124" spans="1:26" x14ac:dyDescent="0.2">
      <c r="A124" s="138"/>
      <c r="B124" s="6"/>
      <c r="C124" s="20"/>
      <c r="D124" s="7"/>
      <c r="E124" s="7"/>
      <c r="F124" s="7"/>
      <c r="G124" s="7"/>
      <c r="H124" s="7"/>
      <c r="I124" s="21"/>
      <c r="J124" s="21"/>
      <c r="K124" s="21"/>
      <c r="L124" s="21"/>
      <c r="M124" s="7"/>
      <c r="N124" s="7"/>
      <c r="P124" s="138"/>
      <c r="Q124" s="138"/>
      <c r="R124" s="138"/>
      <c r="S124" s="141"/>
      <c r="T124" s="141"/>
      <c r="U124" s="141"/>
      <c r="V124" s="141"/>
      <c r="W124" s="141"/>
      <c r="X124" s="142"/>
      <c r="Y124" s="141"/>
      <c r="Z124" s="141"/>
    </row>
    <row r="125" spans="1:26" x14ac:dyDescent="0.2">
      <c r="A125" s="138"/>
      <c r="B125" s="6"/>
      <c r="C125" s="20"/>
      <c r="D125" s="7"/>
      <c r="E125" s="7"/>
      <c r="F125" s="7"/>
      <c r="G125" s="7"/>
      <c r="H125" s="7"/>
      <c r="I125" s="21"/>
      <c r="J125" s="21"/>
      <c r="K125" s="21"/>
      <c r="L125" s="21"/>
      <c r="M125" s="7"/>
      <c r="N125" s="7"/>
      <c r="P125" s="138"/>
      <c r="Q125" s="138"/>
      <c r="R125" s="138"/>
      <c r="S125" s="141"/>
      <c r="T125" s="141"/>
      <c r="U125" s="141"/>
      <c r="V125" s="141"/>
      <c r="W125" s="141"/>
      <c r="X125" s="142"/>
      <c r="Y125" s="141"/>
      <c r="Z125" s="141"/>
    </row>
    <row r="126" spans="1:26" x14ac:dyDescent="0.2">
      <c r="A126" s="138"/>
      <c r="B126" s="6"/>
      <c r="C126" s="20"/>
      <c r="D126" s="7"/>
      <c r="E126" s="7"/>
      <c r="F126" s="7"/>
      <c r="G126" s="7"/>
      <c r="H126" s="7"/>
      <c r="I126" s="21"/>
      <c r="J126" s="21"/>
      <c r="K126" s="21"/>
      <c r="L126" s="21"/>
      <c r="M126" s="7"/>
      <c r="N126" s="7"/>
      <c r="P126" s="138"/>
      <c r="Q126" s="138"/>
      <c r="R126" s="138"/>
      <c r="S126" s="141"/>
      <c r="T126" s="141"/>
      <c r="U126" s="141"/>
      <c r="V126" s="141"/>
      <c r="W126" s="141"/>
      <c r="X126" s="142"/>
      <c r="Y126" s="141"/>
      <c r="Z126" s="141"/>
    </row>
    <row r="127" spans="1:26" x14ac:dyDescent="0.2">
      <c r="A127" s="138"/>
      <c r="B127" s="6"/>
      <c r="C127" s="20"/>
      <c r="D127" s="7"/>
      <c r="E127" s="7"/>
      <c r="F127" s="7"/>
      <c r="G127" s="7"/>
      <c r="H127" s="7"/>
      <c r="I127" s="21"/>
      <c r="J127" s="21"/>
      <c r="K127" s="21"/>
      <c r="L127" s="21"/>
      <c r="M127" s="7"/>
      <c r="N127" s="7"/>
      <c r="P127" s="138"/>
      <c r="Q127" s="138"/>
      <c r="R127" s="138"/>
      <c r="S127" s="141"/>
      <c r="T127" s="141"/>
      <c r="U127" s="141"/>
      <c r="V127" s="141"/>
      <c r="W127" s="141"/>
      <c r="X127" s="142"/>
      <c r="Y127" s="141"/>
      <c r="Z127" s="141"/>
    </row>
    <row r="128" spans="1:26" x14ac:dyDescent="0.2">
      <c r="A128" s="138"/>
      <c r="B128" s="6"/>
      <c r="C128" s="20"/>
      <c r="D128" s="7"/>
      <c r="E128" s="7"/>
      <c r="F128" s="7"/>
      <c r="G128" s="7"/>
      <c r="H128" s="7"/>
      <c r="I128" s="21"/>
      <c r="J128" s="21"/>
      <c r="K128" s="21"/>
      <c r="L128" s="21"/>
      <c r="M128" s="7"/>
      <c r="N128" s="7"/>
      <c r="P128" s="138"/>
      <c r="Q128" s="138"/>
      <c r="R128" s="138"/>
      <c r="S128" s="141"/>
      <c r="T128" s="141"/>
      <c r="U128" s="141"/>
      <c r="V128" s="141"/>
      <c r="W128" s="141"/>
      <c r="X128" s="142"/>
      <c r="Y128" s="141"/>
      <c r="Z128" s="141"/>
    </row>
    <row r="129" spans="1:26" x14ac:dyDescent="0.2">
      <c r="A129" s="138"/>
      <c r="B129" s="6"/>
      <c r="C129" s="20"/>
      <c r="D129" s="7"/>
      <c r="E129" s="7"/>
      <c r="F129" s="7"/>
      <c r="G129" s="7"/>
      <c r="H129" s="7"/>
      <c r="I129" s="21"/>
      <c r="J129" s="21"/>
      <c r="K129" s="21"/>
      <c r="L129" s="21"/>
      <c r="M129" s="7"/>
      <c r="N129" s="7"/>
      <c r="P129" s="138"/>
      <c r="Q129" s="138"/>
      <c r="R129" s="138"/>
      <c r="S129" s="141"/>
      <c r="T129" s="141"/>
      <c r="U129" s="141"/>
      <c r="V129" s="141"/>
      <c r="W129" s="141"/>
      <c r="X129" s="142"/>
      <c r="Y129" s="141"/>
      <c r="Z129" s="141"/>
    </row>
    <row r="130" spans="1:26" x14ac:dyDescent="0.2">
      <c r="A130" s="138"/>
      <c r="B130" s="6"/>
      <c r="C130" s="20"/>
      <c r="D130" s="7"/>
      <c r="E130" s="7"/>
      <c r="F130" s="7"/>
      <c r="G130" s="7"/>
      <c r="H130" s="7"/>
      <c r="I130" s="21"/>
      <c r="J130" s="21"/>
      <c r="K130" s="21"/>
      <c r="L130" s="21"/>
      <c r="M130" s="7"/>
      <c r="N130" s="7"/>
      <c r="P130" s="138"/>
      <c r="Q130" s="138"/>
      <c r="R130" s="138"/>
      <c r="S130" s="141"/>
      <c r="T130" s="141"/>
      <c r="U130" s="141"/>
      <c r="V130" s="141"/>
      <c r="W130" s="141"/>
      <c r="X130" s="142"/>
      <c r="Y130" s="141"/>
      <c r="Z130" s="141"/>
    </row>
    <row r="131" spans="1:26" x14ac:dyDescent="0.2">
      <c r="A131" s="138"/>
      <c r="B131" s="6"/>
      <c r="C131" s="20"/>
      <c r="D131" s="7"/>
      <c r="E131" s="7"/>
      <c r="F131" s="7"/>
      <c r="G131" s="7"/>
      <c r="H131" s="7"/>
      <c r="I131" s="21"/>
      <c r="J131" s="21"/>
      <c r="K131" s="21"/>
      <c r="L131" s="21"/>
      <c r="M131" s="7"/>
      <c r="N131" s="7"/>
      <c r="P131" s="138"/>
      <c r="Q131" s="138"/>
      <c r="R131" s="138"/>
      <c r="S131" s="141"/>
      <c r="T131" s="141"/>
      <c r="U131" s="141"/>
      <c r="V131" s="141"/>
      <c r="W131" s="141"/>
      <c r="X131" s="142"/>
      <c r="Y131" s="141"/>
      <c r="Z131" s="141"/>
    </row>
    <row r="132" spans="1:26" x14ac:dyDescent="0.2">
      <c r="A132" s="138"/>
      <c r="B132" s="6"/>
      <c r="C132" s="20"/>
      <c r="D132" s="7"/>
      <c r="E132" s="7"/>
      <c r="F132" s="7"/>
      <c r="G132" s="7"/>
      <c r="H132" s="7"/>
      <c r="I132" s="21"/>
      <c r="J132" s="21"/>
      <c r="K132" s="21"/>
      <c r="L132" s="21"/>
      <c r="M132" s="7"/>
      <c r="N132" s="7"/>
      <c r="P132" s="138"/>
      <c r="Q132" s="138"/>
      <c r="R132" s="138"/>
      <c r="S132" s="141"/>
      <c r="T132" s="141"/>
      <c r="U132" s="141"/>
      <c r="V132" s="141"/>
      <c r="W132" s="141"/>
      <c r="X132" s="142"/>
      <c r="Y132" s="141"/>
      <c r="Z132" s="141"/>
    </row>
    <row r="133" spans="1:26" x14ac:dyDescent="0.2">
      <c r="A133" s="138"/>
      <c r="B133" s="6"/>
      <c r="C133" s="20"/>
      <c r="D133" s="7"/>
      <c r="E133" s="7"/>
      <c r="F133" s="7"/>
      <c r="G133" s="7"/>
      <c r="H133" s="7"/>
      <c r="I133" s="21"/>
      <c r="J133" s="21"/>
      <c r="K133" s="21"/>
      <c r="L133" s="21"/>
      <c r="M133" s="7"/>
      <c r="N133" s="7"/>
      <c r="P133" s="138"/>
      <c r="Q133" s="138"/>
      <c r="R133" s="138"/>
      <c r="S133" s="141"/>
      <c r="T133" s="141"/>
      <c r="U133" s="141"/>
      <c r="V133" s="141"/>
      <c r="W133" s="141"/>
      <c r="X133" s="142"/>
      <c r="Y133" s="141"/>
      <c r="Z133" s="141"/>
    </row>
    <row r="134" spans="1:26" x14ac:dyDescent="0.2">
      <c r="A134" s="138"/>
      <c r="B134" s="6"/>
      <c r="C134" s="20"/>
      <c r="D134" s="7"/>
      <c r="E134" s="7"/>
      <c r="F134" s="7"/>
      <c r="G134" s="7"/>
      <c r="H134" s="7"/>
      <c r="I134" s="21"/>
      <c r="J134" s="21"/>
      <c r="K134" s="21"/>
      <c r="L134" s="21"/>
      <c r="M134" s="7"/>
      <c r="N134" s="7"/>
      <c r="P134" s="138"/>
      <c r="Q134" s="138"/>
      <c r="R134" s="138"/>
      <c r="S134" s="141"/>
      <c r="T134" s="141"/>
      <c r="U134" s="141"/>
      <c r="V134" s="141"/>
      <c r="W134" s="141"/>
      <c r="X134" s="142"/>
      <c r="Y134" s="141"/>
      <c r="Z134" s="141"/>
    </row>
    <row r="135" spans="1:26" x14ac:dyDescent="0.2">
      <c r="A135" s="138"/>
      <c r="B135" s="6"/>
      <c r="C135" s="20"/>
      <c r="D135" s="7"/>
      <c r="E135" s="7"/>
      <c r="F135" s="7"/>
      <c r="G135" s="7"/>
      <c r="H135" s="7"/>
      <c r="I135" s="21"/>
      <c r="J135" s="21"/>
      <c r="K135" s="21"/>
      <c r="L135" s="21"/>
      <c r="M135" s="7"/>
      <c r="N135" s="7"/>
      <c r="P135" s="138"/>
      <c r="Q135" s="138"/>
      <c r="R135" s="138"/>
      <c r="S135" s="141"/>
      <c r="T135" s="141"/>
      <c r="U135" s="141"/>
      <c r="V135" s="141"/>
      <c r="W135" s="141"/>
      <c r="X135" s="142"/>
      <c r="Y135" s="141"/>
      <c r="Z135" s="141"/>
    </row>
    <row r="136" spans="1:26" x14ac:dyDescent="0.2">
      <c r="A136" s="138"/>
      <c r="B136" s="6"/>
      <c r="C136" s="20"/>
      <c r="D136" s="7"/>
      <c r="E136" s="7"/>
      <c r="F136" s="7"/>
      <c r="G136" s="7"/>
      <c r="H136" s="7"/>
      <c r="I136" s="21"/>
      <c r="J136" s="21"/>
      <c r="K136" s="21"/>
      <c r="L136" s="21"/>
      <c r="M136" s="7"/>
      <c r="N136" s="7"/>
      <c r="P136" s="138"/>
      <c r="Q136" s="138"/>
      <c r="R136" s="138"/>
      <c r="S136" s="141"/>
      <c r="T136" s="141"/>
      <c r="U136" s="141"/>
      <c r="V136" s="141"/>
      <c r="W136" s="141"/>
      <c r="X136" s="142"/>
      <c r="Y136" s="141"/>
      <c r="Z136" s="141"/>
    </row>
    <row r="137" spans="1:26" x14ac:dyDescent="0.2">
      <c r="A137" s="138"/>
      <c r="B137" s="6"/>
      <c r="C137" s="20"/>
      <c r="D137" s="7"/>
      <c r="E137" s="7"/>
      <c r="F137" s="7"/>
      <c r="G137" s="7"/>
      <c r="H137" s="7"/>
      <c r="I137" s="21"/>
      <c r="J137" s="21"/>
      <c r="K137" s="21"/>
      <c r="L137" s="21"/>
      <c r="M137" s="7"/>
      <c r="N137" s="7"/>
      <c r="P137" s="138"/>
      <c r="Q137" s="138"/>
      <c r="R137" s="138"/>
      <c r="S137" s="141"/>
      <c r="T137" s="141"/>
      <c r="U137" s="141"/>
      <c r="V137" s="141"/>
      <c r="W137" s="141"/>
      <c r="X137" s="142"/>
      <c r="Y137" s="141"/>
      <c r="Z137" s="141"/>
    </row>
    <row r="138" spans="1:26" x14ac:dyDescent="0.2">
      <c r="A138" s="138"/>
      <c r="B138" s="6"/>
      <c r="C138" s="20"/>
      <c r="D138" s="7"/>
      <c r="E138" s="7"/>
      <c r="F138" s="7"/>
      <c r="G138" s="7"/>
      <c r="H138" s="7"/>
      <c r="I138" s="21"/>
      <c r="J138" s="21"/>
      <c r="K138" s="21"/>
      <c r="L138" s="21"/>
      <c r="M138" s="7"/>
      <c r="N138" s="7"/>
      <c r="P138" s="138"/>
      <c r="Q138" s="138"/>
      <c r="R138" s="138"/>
      <c r="S138" s="141"/>
      <c r="T138" s="141"/>
      <c r="U138" s="141"/>
      <c r="V138" s="141"/>
      <c r="W138" s="141"/>
      <c r="X138" s="142"/>
      <c r="Y138" s="141"/>
      <c r="Z138" s="141"/>
    </row>
    <row r="139" spans="1:26" x14ac:dyDescent="0.2">
      <c r="A139" s="138"/>
      <c r="B139" s="6"/>
      <c r="C139" s="20"/>
      <c r="D139" s="7"/>
      <c r="E139" s="7"/>
      <c r="F139" s="7"/>
      <c r="G139" s="7"/>
      <c r="H139" s="7"/>
      <c r="I139" s="21"/>
      <c r="J139" s="21"/>
      <c r="K139" s="21"/>
      <c r="L139" s="21"/>
      <c r="M139" s="7"/>
      <c r="N139" s="7"/>
      <c r="P139" s="138"/>
      <c r="Q139" s="138"/>
      <c r="R139" s="138"/>
      <c r="S139" s="141"/>
      <c r="T139" s="141"/>
      <c r="U139" s="141"/>
      <c r="V139" s="141"/>
      <c r="W139" s="141"/>
      <c r="X139" s="142"/>
      <c r="Y139" s="141"/>
      <c r="Z139" s="141"/>
    </row>
    <row r="140" spans="1:26" x14ac:dyDescent="0.2">
      <c r="A140" s="138"/>
      <c r="B140" s="6"/>
      <c r="C140" s="20"/>
      <c r="D140" s="7"/>
      <c r="E140" s="7"/>
      <c r="F140" s="7"/>
      <c r="G140" s="7"/>
      <c r="H140" s="7"/>
      <c r="I140" s="21"/>
      <c r="J140" s="21"/>
      <c r="K140" s="21"/>
      <c r="L140" s="21"/>
      <c r="M140" s="7"/>
      <c r="N140" s="7"/>
      <c r="P140" s="138"/>
      <c r="Q140" s="138"/>
      <c r="R140" s="138"/>
      <c r="S140" s="141"/>
      <c r="T140" s="141"/>
      <c r="U140" s="141"/>
      <c r="V140" s="141"/>
      <c r="W140" s="141"/>
      <c r="X140" s="142"/>
      <c r="Y140" s="141"/>
      <c r="Z140" s="141"/>
    </row>
    <row r="141" spans="1:26" x14ac:dyDescent="0.2">
      <c r="A141" s="138"/>
      <c r="B141" s="6"/>
      <c r="C141" s="20"/>
      <c r="D141" s="7"/>
      <c r="E141" s="7"/>
      <c r="F141" s="7"/>
      <c r="G141" s="7"/>
      <c r="H141" s="7"/>
      <c r="I141" s="21"/>
      <c r="J141" s="21"/>
      <c r="K141" s="21"/>
      <c r="L141" s="21"/>
      <c r="M141" s="7"/>
      <c r="N141" s="7"/>
      <c r="P141" s="138"/>
      <c r="Q141" s="138"/>
      <c r="R141" s="138"/>
      <c r="S141" s="141"/>
      <c r="T141" s="141"/>
      <c r="U141" s="141"/>
      <c r="V141" s="141"/>
      <c r="W141" s="141"/>
      <c r="X141" s="142"/>
      <c r="Y141" s="141"/>
      <c r="Z141" s="141"/>
    </row>
    <row r="142" spans="1:26" x14ac:dyDescent="0.2">
      <c r="A142" s="138"/>
      <c r="B142" s="6"/>
      <c r="C142" s="20"/>
      <c r="D142" s="7"/>
      <c r="E142" s="7"/>
      <c r="F142" s="7"/>
      <c r="G142" s="7"/>
      <c r="H142" s="7"/>
      <c r="I142" s="21"/>
      <c r="J142" s="21"/>
      <c r="K142" s="21"/>
      <c r="L142" s="21"/>
      <c r="M142" s="7"/>
      <c r="N142" s="7"/>
      <c r="P142" s="138"/>
      <c r="Q142" s="138"/>
      <c r="R142" s="138"/>
      <c r="S142" s="141"/>
      <c r="T142" s="141"/>
      <c r="U142" s="141"/>
      <c r="V142" s="141"/>
      <c r="W142" s="141"/>
      <c r="X142" s="142"/>
      <c r="Y142" s="141"/>
      <c r="Z142" s="141"/>
    </row>
    <row r="143" spans="1:26" x14ac:dyDescent="0.2">
      <c r="A143" s="138"/>
      <c r="B143" s="6"/>
      <c r="C143" s="20"/>
      <c r="D143" s="7"/>
      <c r="E143" s="7"/>
      <c r="F143" s="7"/>
      <c r="G143" s="7"/>
      <c r="H143" s="7"/>
      <c r="I143" s="21"/>
      <c r="J143" s="21"/>
      <c r="K143" s="21"/>
      <c r="L143" s="21"/>
      <c r="M143" s="7"/>
      <c r="N143" s="7"/>
      <c r="P143" s="138"/>
      <c r="Q143" s="138"/>
      <c r="R143" s="138"/>
      <c r="S143" s="141"/>
      <c r="T143" s="141"/>
      <c r="U143" s="141"/>
      <c r="V143" s="141"/>
      <c r="W143" s="141"/>
      <c r="X143" s="142"/>
      <c r="Y143" s="141"/>
      <c r="Z143" s="141"/>
    </row>
    <row r="144" spans="1:26" x14ac:dyDescent="0.2">
      <c r="A144" s="138"/>
      <c r="B144" s="6"/>
      <c r="C144" s="20"/>
      <c r="D144" s="7"/>
      <c r="E144" s="7"/>
      <c r="F144" s="7"/>
      <c r="G144" s="7"/>
      <c r="H144" s="7"/>
      <c r="I144" s="21"/>
      <c r="J144" s="21"/>
      <c r="K144" s="21"/>
      <c r="L144" s="21"/>
      <c r="M144" s="7"/>
      <c r="N144" s="7"/>
      <c r="P144" s="138"/>
      <c r="Q144" s="138"/>
      <c r="R144" s="138"/>
      <c r="S144" s="141"/>
      <c r="T144" s="141"/>
      <c r="U144" s="141"/>
      <c r="V144" s="141"/>
      <c r="W144" s="141"/>
      <c r="X144" s="142"/>
      <c r="Y144" s="141"/>
      <c r="Z144" s="141"/>
    </row>
    <row r="145" spans="1:26" x14ac:dyDescent="0.2">
      <c r="A145" s="138"/>
      <c r="B145" s="6"/>
      <c r="C145" s="20"/>
      <c r="D145" s="7"/>
      <c r="E145" s="7"/>
      <c r="F145" s="7"/>
      <c r="G145" s="7"/>
      <c r="H145" s="7"/>
      <c r="I145" s="21"/>
      <c r="J145" s="21"/>
      <c r="K145" s="21"/>
      <c r="L145" s="21"/>
      <c r="M145" s="7"/>
      <c r="N145" s="7"/>
      <c r="P145" s="138"/>
      <c r="Q145" s="138"/>
      <c r="R145" s="138"/>
      <c r="S145" s="141"/>
      <c r="T145" s="141"/>
      <c r="U145" s="141"/>
      <c r="V145" s="141"/>
      <c r="W145" s="141"/>
      <c r="X145" s="142"/>
      <c r="Y145" s="141"/>
      <c r="Z145" s="141"/>
    </row>
    <row r="146" spans="1:26" x14ac:dyDescent="0.2">
      <c r="A146" s="138"/>
      <c r="B146" s="6"/>
      <c r="C146" s="20"/>
      <c r="D146" s="7"/>
      <c r="E146" s="7"/>
      <c r="F146" s="7"/>
      <c r="G146" s="7"/>
      <c r="H146" s="7"/>
      <c r="I146" s="21"/>
      <c r="J146" s="21"/>
      <c r="K146" s="21"/>
      <c r="L146" s="21"/>
      <c r="M146" s="7"/>
      <c r="N146" s="7"/>
      <c r="P146" s="138"/>
      <c r="Q146" s="138"/>
      <c r="R146" s="138"/>
      <c r="S146" s="141"/>
      <c r="T146" s="141"/>
      <c r="U146" s="141"/>
      <c r="V146" s="141"/>
      <c r="W146" s="141"/>
      <c r="X146" s="142"/>
      <c r="Y146" s="141"/>
      <c r="Z146" s="141"/>
    </row>
    <row r="147" spans="1:26" x14ac:dyDescent="0.2">
      <c r="A147" s="138"/>
      <c r="B147" s="6"/>
      <c r="C147" s="20"/>
      <c r="D147" s="7"/>
      <c r="E147" s="7"/>
      <c r="F147" s="7"/>
      <c r="G147" s="7"/>
      <c r="H147" s="7"/>
      <c r="I147" s="21"/>
      <c r="J147" s="21"/>
      <c r="K147" s="21"/>
      <c r="L147" s="21"/>
      <c r="M147" s="7"/>
      <c r="N147" s="7"/>
      <c r="P147" s="138"/>
      <c r="Q147" s="138"/>
      <c r="R147" s="138"/>
      <c r="S147" s="141"/>
      <c r="T147" s="141"/>
      <c r="U147" s="141"/>
      <c r="V147" s="141"/>
      <c r="W147" s="141"/>
      <c r="X147" s="142"/>
      <c r="Y147" s="141"/>
      <c r="Z147" s="141"/>
    </row>
    <row r="148" spans="1:26" x14ac:dyDescent="0.2">
      <c r="A148" s="138"/>
      <c r="B148" s="6"/>
      <c r="C148" s="20"/>
      <c r="D148" s="7"/>
      <c r="E148" s="7"/>
      <c r="F148" s="7"/>
      <c r="G148" s="7"/>
      <c r="H148" s="7"/>
      <c r="I148" s="21"/>
      <c r="J148" s="21"/>
      <c r="K148" s="21"/>
      <c r="L148" s="21"/>
      <c r="M148" s="7"/>
      <c r="N148" s="7"/>
      <c r="P148" s="138"/>
      <c r="Q148" s="138"/>
      <c r="R148" s="138"/>
      <c r="S148" s="141"/>
      <c r="T148" s="141"/>
      <c r="U148" s="141"/>
      <c r="V148" s="141"/>
      <c r="W148" s="141"/>
      <c r="X148" s="142"/>
      <c r="Y148" s="141"/>
      <c r="Z148" s="141"/>
    </row>
    <row r="149" spans="1:26" x14ac:dyDescent="0.2">
      <c r="A149" s="138"/>
      <c r="B149" s="6"/>
      <c r="C149" s="20"/>
      <c r="D149" s="7"/>
      <c r="E149" s="7"/>
      <c r="F149" s="7"/>
      <c r="G149" s="7"/>
      <c r="H149" s="7"/>
      <c r="I149" s="21"/>
      <c r="J149" s="21"/>
      <c r="K149" s="21"/>
      <c r="L149" s="21"/>
      <c r="M149" s="7"/>
      <c r="N149" s="7"/>
      <c r="P149" s="138"/>
      <c r="Q149" s="138"/>
      <c r="R149" s="138"/>
      <c r="S149" s="141"/>
      <c r="T149" s="141"/>
      <c r="U149" s="141"/>
      <c r="V149" s="141"/>
      <c r="W149" s="141"/>
      <c r="X149" s="142"/>
      <c r="Y149" s="141"/>
      <c r="Z149" s="141"/>
    </row>
    <row r="150" spans="1:26" x14ac:dyDescent="0.2">
      <c r="A150" s="138"/>
      <c r="B150" s="6"/>
      <c r="C150" s="20"/>
      <c r="D150" s="7"/>
      <c r="E150" s="7"/>
      <c r="F150" s="7"/>
      <c r="G150" s="7"/>
      <c r="H150" s="7"/>
      <c r="I150" s="21"/>
      <c r="J150" s="21"/>
      <c r="K150" s="21"/>
      <c r="L150" s="21"/>
      <c r="M150" s="7"/>
      <c r="N150" s="7"/>
      <c r="P150" s="138"/>
      <c r="Q150" s="138"/>
      <c r="R150" s="138"/>
      <c r="S150" s="141"/>
      <c r="T150" s="141"/>
      <c r="U150" s="141"/>
      <c r="V150" s="141"/>
      <c r="W150" s="141"/>
      <c r="X150" s="142"/>
      <c r="Y150" s="141"/>
      <c r="Z150" s="141"/>
    </row>
    <row r="151" spans="1:26" x14ac:dyDescent="0.2">
      <c r="A151" s="138"/>
      <c r="B151" s="6"/>
      <c r="C151" s="20"/>
      <c r="D151" s="7"/>
      <c r="E151" s="7"/>
      <c r="F151" s="7"/>
      <c r="G151" s="7"/>
      <c r="H151" s="7"/>
      <c r="I151" s="21"/>
      <c r="J151" s="21"/>
      <c r="K151" s="21"/>
      <c r="L151" s="21"/>
      <c r="M151" s="7"/>
      <c r="N151" s="7"/>
      <c r="P151" s="138"/>
      <c r="Q151" s="138"/>
      <c r="R151" s="138"/>
      <c r="S151" s="141"/>
      <c r="T151" s="141"/>
      <c r="U151" s="141"/>
      <c r="V151" s="141"/>
      <c r="W151" s="141"/>
      <c r="X151" s="142"/>
      <c r="Y151" s="141"/>
      <c r="Z151" s="141"/>
    </row>
    <row r="152" spans="1:26" x14ac:dyDescent="0.2">
      <c r="A152" s="138"/>
      <c r="B152" s="6"/>
      <c r="C152" s="20"/>
      <c r="D152" s="7"/>
      <c r="E152" s="7"/>
      <c r="F152" s="7"/>
      <c r="G152" s="7"/>
      <c r="H152" s="7"/>
      <c r="I152" s="21"/>
      <c r="J152" s="21"/>
      <c r="K152" s="21"/>
      <c r="L152" s="21"/>
      <c r="M152" s="7"/>
      <c r="N152" s="7"/>
      <c r="P152" s="138"/>
      <c r="Q152" s="138"/>
      <c r="R152" s="138"/>
      <c r="S152" s="141"/>
      <c r="T152" s="141"/>
      <c r="U152" s="141"/>
      <c r="V152" s="141"/>
      <c r="W152" s="141"/>
      <c r="X152" s="142"/>
      <c r="Y152" s="141"/>
      <c r="Z152" s="141"/>
    </row>
    <row r="153" spans="1:26" x14ac:dyDescent="0.2">
      <c r="A153" s="138"/>
      <c r="B153" s="6"/>
      <c r="C153" s="20"/>
      <c r="D153" s="7"/>
      <c r="E153" s="7"/>
      <c r="F153" s="7"/>
      <c r="G153" s="7"/>
      <c r="H153" s="7"/>
      <c r="I153" s="21"/>
      <c r="J153" s="21"/>
      <c r="K153" s="21"/>
      <c r="L153" s="21"/>
      <c r="M153" s="7"/>
      <c r="N153" s="7"/>
      <c r="P153" s="138"/>
      <c r="Q153" s="138"/>
      <c r="R153" s="138"/>
      <c r="S153" s="141"/>
      <c r="T153" s="141"/>
      <c r="U153" s="141"/>
      <c r="V153" s="141"/>
      <c r="W153" s="141"/>
      <c r="X153" s="142"/>
      <c r="Y153" s="141"/>
      <c r="Z153" s="141"/>
    </row>
    <row r="154" spans="1:26" x14ac:dyDescent="0.2">
      <c r="A154" s="138"/>
      <c r="B154" s="6"/>
      <c r="C154" s="20"/>
      <c r="D154" s="7"/>
      <c r="E154" s="7"/>
      <c r="F154" s="7"/>
      <c r="G154" s="7"/>
      <c r="H154" s="7"/>
      <c r="I154" s="21"/>
      <c r="J154" s="21"/>
      <c r="K154" s="21"/>
      <c r="L154" s="21"/>
      <c r="M154" s="7"/>
      <c r="N154" s="7"/>
      <c r="P154" s="138"/>
      <c r="Q154" s="138"/>
      <c r="R154" s="138"/>
      <c r="S154" s="141"/>
      <c r="T154" s="141"/>
      <c r="U154" s="141"/>
      <c r="V154" s="141"/>
      <c r="W154" s="141"/>
      <c r="X154" s="142"/>
      <c r="Y154" s="141"/>
      <c r="Z154" s="141"/>
    </row>
    <row r="155" spans="1:26" x14ac:dyDescent="0.2">
      <c r="A155" s="138"/>
      <c r="B155" s="6"/>
      <c r="C155" s="20"/>
      <c r="D155" s="7"/>
      <c r="E155" s="7"/>
      <c r="F155" s="7"/>
      <c r="G155" s="7"/>
      <c r="H155" s="7"/>
      <c r="I155" s="21"/>
      <c r="J155" s="21"/>
      <c r="K155" s="21"/>
      <c r="L155" s="21"/>
      <c r="M155" s="7"/>
      <c r="N155" s="7"/>
      <c r="P155" s="138"/>
      <c r="Q155" s="138"/>
      <c r="R155" s="138"/>
      <c r="S155" s="141"/>
      <c r="T155" s="141"/>
      <c r="U155" s="141"/>
      <c r="V155" s="141"/>
      <c r="W155" s="141"/>
      <c r="X155" s="142"/>
      <c r="Y155" s="141"/>
      <c r="Z155" s="141"/>
    </row>
    <row r="156" spans="1:26" x14ac:dyDescent="0.2">
      <c r="A156" s="138"/>
      <c r="B156" s="6"/>
      <c r="C156" s="20"/>
      <c r="D156" s="7"/>
      <c r="E156" s="7"/>
      <c r="F156" s="7"/>
      <c r="G156" s="7"/>
      <c r="H156" s="7"/>
      <c r="I156" s="21"/>
      <c r="J156" s="21"/>
      <c r="K156" s="21"/>
      <c r="L156" s="21"/>
      <c r="M156" s="7"/>
      <c r="N156" s="7"/>
      <c r="P156" s="138"/>
      <c r="Q156" s="138"/>
      <c r="R156" s="138"/>
      <c r="S156" s="141"/>
      <c r="T156" s="141"/>
      <c r="U156" s="141"/>
      <c r="V156" s="141"/>
      <c r="W156" s="141"/>
      <c r="X156" s="142"/>
      <c r="Y156" s="141"/>
      <c r="Z156" s="141"/>
    </row>
    <row r="157" spans="1:26" x14ac:dyDescent="0.2">
      <c r="A157" s="138"/>
      <c r="B157" s="6"/>
      <c r="C157" s="20"/>
      <c r="D157" s="7"/>
      <c r="E157" s="7"/>
      <c r="F157" s="7"/>
      <c r="G157" s="7"/>
      <c r="H157" s="7"/>
      <c r="I157" s="21"/>
      <c r="J157" s="21"/>
      <c r="K157" s="21"/>
      <c r="L157" s="21"/>
      <c r="M157" s="7"/>
      <c r="N157" s="7"/>
      <c r="P157" s="138"/>
      <c r="Q157" s="138"/>
      <c r="R157" s="138"/>
      <c r="S157" s="141"/>
      <c r="T157" s="141"/>
      <c r="U157" s="141"/>
      <c r="V157" s="141"/>
      <c r="W157" s="141"/>
      <c r="X157" s="142"/>
      <c r="Y157" s="141"/>
      <c r="Z157" s="141"/>
    </row>
    <row r="158" spans="1:26" x14ac:dyDescent="0.2">
      <c r="A158" s="138"/>
      <c r="B158" s="6"/>
      <c r="C158" s="20"/>
      <c r="D158" s="7"/>
      <c r="E158" s="7"/>
      <c r="F158" s="7"/>
      <c r="G158" s="7"/>
      <c r="H158" s="7"/>
      <c r="I158" s="21"/>
      <c r="J158" s="21"/>
      <c r="K158" s="21"/>
      <c r="L158" s="21"/>
      <c r="M158" s="7"/>
      <c r="N158" s="7"/>
      <c r="P158" s="138"/>
      <c r="Q158" s="138"/>
      <c r="R158" s="138"/>
      <c r="S158" s="141"/>
      <c r="T158" s="141"/>
      <c r="U158" s="141"/>
      <c r="V158" s="141"/>
      <c r="W158" s="141"/>
      <c r="X158" s="142"/>
      <c r="Y158" s="141"/>
      <c r="Z158" s="141"/>
    </row>
    <row r="159" spans="1:26" x14ac:dyDescent="0.2">
      <c r="A159" s="138"/>
      <c r="B159" s="6"/>
      <c r="C159" s="20"/>
      <c r="D159" s="7"/>
      <c r="E159" s="7"/>
      <c r="F159" s="7"/>
      <c r="G159" s="7"/>
      <c r="H159" s="7"/>
      <c r="I159" s="21"/>
      <c r="J159" s="21"/>
      <c r="K159" s="21"/>
      <c r="L159" s="21"/>
      <c r="M159" s="7"/>
      <c r="N159" s="7"/>
      <c r="P159" s="138"/>
      <c r="Q159" s="138"/>
      <c r="R159" s="138"/>
      <c r="S159" s="141"/>
      <c r="T159" s="141"/>
      <c r="U159" s="141"/>
      <c r="V159" s="141"/>
      <c r="W159" s="141"/>
      <c r="X159" s="142"/>
      <c r="Y159" s="141"/>
      <c r="Z159" s="141"/>
    </row>
    <row r="160" spans="1:26" x14ac:dyDescent="0.2">
      <c r="A160" s="138"/>
      <c r="B160" s="6"/>
      <c r="C160" s="20"/>
      <c r="D160" s="7"/>
      <c r="E160" s="7"/>
      <c r="F160" s="7"/>
      <c r="G160" s="7"/>
      <c r="H160" s="7"/>
      <c r="I160" s="21"/>
      <c r="J160" s="21"/>
      <c r="K160" s="21"/>
      <c r="L160" s="21"/>
      <c r="M160" s="7"/>
      <c r="N160" s="7"/>
      <c r="P160" s="138"/>
      <c r="Q160" s="138"/>
      <c r="R160" s="138"/>
      <c r="S160" s="141"/>
      <c r="T160" s="141"/>
      <c r="U160" s="141"/>
      <c r="V160" s="141"/>
      <c r="W160" s="141"/>
      <c r="X160" s="142"/>
      <c r="Y160" s="141"/>
      <c r="Z160" s="141"/>
    </row>
    <row r="161" spans="1:26" x14ac:dyDescent="0.2">
      <c r="A161" s="138"/>
      <c r="B161" s="6"/>
      <c r="C161" s="20"/>
      <c r="D161" s="7"/>
      <c r="E161" s="7"/>
      <c r="F161" s="7"/>
      <c r="G161" s="7"/>
      <c r="H161" s="7"/>
      <c r="I161" s="21"/>
      <c r="J161" s="21"/>
      <c r="K161" s="21"/>
      <c r="L161" s="21"/>
      <c r="M161" s="7"/>
      <c r="N161" s="7"/>
      <c r="P161" s="138"/>
      <c r="Q161" s="138"/>
      <c r="R161" s="138"/>
      <c r="S161" s="141"/>
      <c r="T161" s="141"/>
      <c r="U161" s="141"/>
      <c r="V161" s="141"/>
      <c r="W161" s="141"/>
      <c r="X161" s="142"/>
      <c r="Y161" s="141"/>
      <c r="Z161" s="141"/>
    </row>
    <row r="162" spans="1:26" x14ac:dyDescent="0.2">
      <c r="A162" s="138"/>
      <c r="B162" s="6"/>
      <c r="C162" s="20"/>
      <c r="D162" s="7"/>
      <c r="E162" s="7"/>
      <c r="F162" s="7"/>
      <c r="G162" s="7"/>
      <c r="H162" s="7"/>
      <c r="I162" s="21"/>
      <c r="J162" s="21"/>
      <c r="K162" s="21"/>
      <c r="L162" s="21"/>
      <c r="M162" s="7"/>
      <c r="N162" s="7"/>
      <c r="P162" s="138"/>
      <c r="Q162" s="138"/>
      <c r="R162" s="138"/>
      <c r="S162" s="141"/>
      <c r="T162" s="141"/>
      <c r="U162" s="141"/>
      <c r="V162" s="141"/>
      <c r="W162" s="141"/>
      <c r="X162" s="142"/>
      <c r="Y162" s="141"/>
      <c r="Z162" s="141"/>
    </row>
    <row r="163" spans="1:26" x14ac:dyDescent="0.2">
      <c r="A163" s="138"/>
      <c r="B163" s="6"/>
      <c r="C163" s="20"/>
      <c r="D163" s="7"/>
      <c r="E163" s="7"/>
      <c r="F163" s="7"/>
      <c r="G163" s="7"/>
      <c r="H163" s="7"/>
      <c r="I163" s="21"/>
      <c r="J163" s="21"/>
      <c r="K163" s="21"/>
      <c r="L163" s="21"/>
      <c r="M163" s="7"/>
      <c r="N163" s="7"/>
      <c r="P163" s="138"/>
      <c r="Q163" s="138"/>
      <c r="R163" s="138"/>
      <c r="S163" s="141"/>
      <c r="T163" s="141"/>
      <c r="U163" s="141"/>
      <c r="V163" s="141"/>
      <c r="W163" s="141"/>
      <c r="X163" s="142"/>
      <c r="Y163" s="141"/>
      <c r="Z163" s="141"/>
    </row>
    <row r="164" spans="1:26" x14ac:dyDescent="0.2">
      <c r="A164" s="138"/>
      <c r="B164" s="6"/>
      <c r="C164" s="20"/>
      <c r="D164" s="7"/>
      <c r="E164" s="7"/>
      <c r="F164" s="7"/>
      <c r="G164" s="7"/>
      <c r="H164" s="7"/>
      <c r="I164" s="21"/>
      <c r="J164" s="21"/>
      <c r="K164" s="21"/>
      <c r="L164" s="21"/>
      <c r="M164" s="7"/>
      <c r="N164" s="7"/>
      <c r="P164" s="138"/>
      <c r="Q164" s="138"/>
      <c r="R164" s="138"/>
      <c r="S164" s="141"/>
      <c r="T164" s="141"/>
      <c r="U164" s="141"/>
      <c r="V164" s="141"/>
      <c r="W164" s="141"/>
      <c r="X164" s="142"/>
      <c r="Y164" s="141"/>
      <c r="Z164" s="141"/>
    </row>
    <row r="165" spans="1:26" x14ac:dyDescent="0.2">
      <c r="A165" s="138"/>
      <c r="B165" s="6"/>
      <c r="C165" s="20"/>
      <c r="D165" s="7"/>
      <c r="E165" s="7"/>
      <c r="F165" s="7"/>
      <c r="G165" s="7"/>
      <c r="H165" s="7"/>
      <c r="I165" s="21"/>
      <c r="J165" s="21"/>
      <c r="K165" s="21"/>
      <c r="L165" s="21"/>
      <c r="M165" s="7"/>
      <c r="N165" s="7"/>
      <c r="P165" s="138"/>
      <c r="Q165" s="138"/>
      <c r="R165" s="138"/>
      <c r="S165" s="141"/>
      <c r="T165" s="141"/>
      <c r="U165" s="141"/>
      <c r="V165" s="141"/>
      <c r="W165" s="141"/>
      <c r="X165" s="142"/>
      <c r="Y165" s="141"/>
      <c r="Z165" s="141"/>
    </row>
    <row r="166" spans="1:26" x14ac:dyDescent="0.2">
      <c r="A166" s="138"/>
      <c r="B166" s="6"/>
      <c r="C166" s="20"/>
      <c r="D166" s="7"/>
      <c r="E166" s="7"/>
      <c r="F166" s="7"/>
      <c r="G166" s="7"/>
      <c r="H166" s="7"/>
      <c r="I166" s="21"/>
      <c r="J166" s="21"/>
      <c r="K166" s="21"/>
      <c r="L166" s="21"/>
      <c r="M166" s="7"/>
      <c r="N166" s="7"/>
      <c r="P166" s="138"/>
      <c r="Q166" s="138"/>
      <c r="R166" s="138"/>
      <c r="S166" s="141"/>
      <c r="T166" s="141"/>
      <c r="U166" s="141"/>
      <c r="V166" s="141"/>
      <c r="W166" s="141"/>
      <c r="X166" s="142"/>
      <c r="Y166" s="141"/>
      <c r="Z166" s="141"/>
    </row>
    <row r="167" spans="1:26" x14ac:dyDescent="0.2">
      <c r="A167" s="138"/>
      <c r="B167" s="6"/>
      <c r="C167" s="20"/>
      <c r="D167" s="7"/>
      <c r="E167" s="7"/>
      <c r="F167" s="7"/>
      <c r="G167" s="7"/>
      <c r="H167" s="7"/>
      <c r="I167" s="21"/>
      <c r="J167" s="21"/>
      <c r="K167" s="21"/>
      <c r="L167" s="21"/>
      <c r="M167" s="7"/>
      <c r="N167" s="7"/>
      <c r="P167" s="138"/>
      <c r="Q167" s="138"/>
      <c r="R167" s="138"/>
      <c r="S167" s="141"/>
      <c r="T167" s="141"/>
      <c r="U167" s="141"/>
      <c r="V167" s="141"/>
      <c r="W167" s="141"/>
      <c r="X167" s="142"/>
      <c r="Y167" s="141"/>
      <c r="Z167" s="141"/>
    </row>
    <row r="168" spans="1:26" x14ac:dyDescent="0.2">
      <c r="A168" s="138"/>
      <c r="B168" s="6"/>
      <c r="C168" s="20"/>
      <c r="D168" s="7"/>
      <c r="E168" s="7"/>
      <c r="F168" s="7"/>
      <c r="G168" s="7"/>
      <c r="H168" s="7"/>
      <c r="I168" s="21"/>
      <c r="J168" s="21"/>
      <c r="K168" s="21"/>
      <c r="L168" s="21"/>
      <c r="M168" s="7"/>
      <c r="N168" s="7"/>
      <c r="P168" s="138"/>
      <c r="Q168" s="138"/>
      <c r="R168" s="138"/>
      <c r="S168" s="141"/>
      <c r="T168" s="141"/>
      <c r="U168" s="141"/>
      <c r="V168" s="141"/>
      <c r="W168" s="141"/>
      <c r="X168" s="142"/>
      <c r="Y168" s="141"/>
      <c r="Z168" s="141"/>
    </row>
    <row r="169" spans="1:26" x14ac:dyDescent="0.2">
      <c r="A169" s="138"/>
      <c r="B169" s="6"/>
      <c r="C169" s="20"/>
      <c r="D169" s="7"/>
      <c r="E169" s="7"/>
      <c r="F169" s="7"/>
      <c r="G169" s="7"/>
      <c r="H169" s="7"/>
      <c r="I169" s="21"/>
      <c r="J169" s="21"/>
      <c r="K169" s="21"/>
      <c r="L169" s="21"/>
      <c r="M169" s="7"/>
      <c r="N169" s="7"/>
      <c r="P169" s="138"/>
      <c r="Q169" s="138"/>
      <c r="R169" s="138"/>
      <c r="S169" s="141"/>
      <c r="T169" s="141"/>
      <c r="U169" s="141"/>
      <c r="V169" s="141"/>
      <c r="W169" s="141"/>
      <c r="X169" s="142"/>
      <c r="Y169" s="141"/>
      <c r="Z169" s="141"/>
    </row>
    <row r="170" spans="1:26" x14ac:dyDescent="0.2">
      <c r="A170" s="138"/>
      <c r="B170" s="6"/>
      <c r="C170" s="20"/>
      <c r="D170" s="7"/>
      <c r="E170" s="7"/>
      <c r="F170" s="7"/>
      <c r="G170" s="7"/>
      <c r="H170" s="7"/>
      <c r="I170" s="21"/>
      <c r="J170" s="21"/>
      <c r="K170" s="21"/>
      <c r="L170" s="21"/>
      <c r="M170" s="7"/>
      <c r="N170" s="7"/>
      <c r="P170" s="138"/>
      <c r="Q170" s="138"/>
      <c r="R170" s="138"/>
      <c r="S170" s="141"/>
      <c r="T170" s="141"/>
      <c r="U170" s="141"/>
      <c r="V170" s="141"/>
      <c r="W170" s="141"/>
      <c r="X170" s="142"/>
      <c r="Y170" s="141"/>
      <c r="Z170" s="141"/>
    </row>
    <row r="171" spans="1:26" x14ac:dyDescent="0.2">
      <c r="A171" s="138"/>
      <c r="B171" s="6"/>
      <c r="C171" s="20"/>
      <c r="D171" s="7"/>
      <c r="E171" s="7"/>
      <c r="F171" s="7"/>
      <c r="G171" s="7"/>
      <c r="H171" s="7"/>
      <c r="I171" s="21"/>
      <c r="J171" s="21"/>
      <c r="K171" s="21"/>
      <c r="L171" s="21"/>
      <c r="M171" s="7"/>
      <c r="N171" s="7"/>
      <c r="P171" s="138"/>
      <c r="Q171" s="138"/>
      <c r="R171" s="138"/>
      <c r="S171" s="141"/>
      <c r="T171" s="141"/>
      <c r="U171" s="141"/>
      <c r="V171" s="141"/>
      <c r="W171" s="141"/>
      <c r="X171" s="142"/>
      <c r="Y171" s="141"/>
      <c r="Z171" s="141"/>
    </row>
    <row r="172" spans="1:26" x14ac:dyDescent="0.2">
      <c r="A172" s="138"/>
      <c r="B172" s="6"/>
      <c r="C172" s="20"/>
      <c r="D172" s="7"/>
      <c r="E172" s="7"/>
      <c r="F172" s="7"/>
      <c r="G172" s="7"/>
      <c r="H172" s="7"/>
      <c r="I172" s="21"/>
      <c r="J172" s="21"/>
      <c r="K172" s="21"/>
      <c r="L172" s="21"/>
      <c r="M172" s="7"/>
      <c r="N172" s="7"/>
      <c r="P172" s="138"/>
      <c r="Q172" s="138"/>
      <c r="R172" s="138"/>
      <c r="S172" s="141"/>
      <c r="T172" s="141"/>
      <c r="U172" s="141"/>
      <c r="V172" s="141"/>
      <c r="W172" s="141"/>
      <c r="X172" s="142"/>
      <c r="Y172" s="141"/>
      <c r="Z172" s="141"/>
    </row>
    <row r="173" spans="1:26" x14ac:dyDescent="0.2">
      <c r="A173" s="138"/>
      <c r="B173" s="6"/>
      <c r="C173" s="20"/>
      <c r="D173" s="7"/>
      <c r="E173" s="7"/>
      <c r="F173" s="7"/>
      <c r="G173" s="7"/>
      <c r="H173" s="7"/>
      <c r="I173" s="21"/>
      <c r="J173" s="21"/>
      <c r="K173" s="21"/>
      <c r="L173" s="21"/>
      <c r="M173" s="7"/>
      <c r="N173" s="7"/>
      <c r="P173" s="138"/>
      <c r="Q173" s="138"/>
      <c r="R173" s="138"/>
      <c r="S173" s="141"/>
      <c r="T173" s="141"/>
      <c r="U173" s="141"/>
      <c r="V173" s="141"/>
      <c r="W173" s="141"/>
      <c r="X173" s="142"/>
      <c r="Y173" s="141"/>
      <c r="Z173" s="141"/>
    </row>
    <row r="174" spans="1:26" x14ac:dyDescent="0.2">
      <c r="A174" s="138"/>
      <c r="B174" s="6"/>
      <c r="C174" s="20"/>
      <c r="D174" s="7"/>
      <c r="E174" s="7"/>
      <c r="F174" s="7"/>
      <c r="G174" s="7"/>
      <c r="H174" s="7"/>
      <c r="I174" s="21"/>
      <c r="J174" s="21"/>
      <c r="K174" s="21"/>
      <c r="L174" s="21"/>
      <c r="M174" s="7"/>
      <c r="N174" s="7"/>
      <c r="P174" s="138"/>
      <c r="Q174" s="138"/>
      <c r="R174" s="138"/>
      <c r="S174" s="141"/>
      <c r="T174" s="141"/>
      <c r="U174" s="141"/>
      <c r="V174" s="141"/>
      <c r="W174" s="141"/>
      <c r="X174" s="142"/>
      <c r="Y174" s="141"/>
      <c r="Z174" s="141"/>
    </row>
    <row r="175" spans="1:26" x14ac:dyDescent="0.2">
      <c r="A175" s="138"/>
      <c r="B175" s="6"/>
      <c r="C175" s="20"/>
      <c r="D175" s="7"/>
      <c r="E175" s="7"/>
      <c r="F175" s="7"/>
      <c r="G175" s="7"/>
      <c r="H175" s="7"/>
      <c r="I175" s="21"/>
      <c r="J175" s="21"/>
      <c r="K175" s="21"/>
      <c r="L175" s="21"/>
      <c r="M175" s="7"/>
      <c r="N175" s="7"/>
      <c r="P175" s="138"/>
      <c r="Q175" s="138"/>
      <c r="R175" s="138"/>
      <c r="S175" s="141"/>
      <c r="T175" s="141"/>
      <c r="U175" s="141"/>
      <c r="V175" s="141"/>
      <c r="W175" s="141"/>
      <c r="X175" s="142"/>
      <c r="Y175" s="141"/>
      <c r="Z175" s="141"/>
    </row>
    <row r="176" spans="1:26" x14ac:dyDescent="0.2">
      <c r="A176" s="138"/>
      <c r="B176" s="6"/>
      <c r="C176" s="20"/>
      <c r="D176" s="7"/>
      <c r="E176" s="7"/>
      <c r="F176" s="7"/>
      <c r="G176" s="7"/>
      <c r="H176" s="7"/>
      <c r="I176" s="21"/>
      <c r="J176" s="21"/>
      <c r="K176" s="21"/>
      <c r="L176" s="21"/>
      <c r="M176" s="7"/>
      <c r="N176" s="7"/>
      <c r="P176" s="138"/>
      <c r="Q176" s="138"/>
      <c r="R176" s="138"/>
      <c r="S176" s="141"/>
      <c r="T176" s="141"/>
      <c r="U176" s="141"/>
      <c r="V176" s="141"/>
      <c r="W176" s="141"/>
      <c r="X176" s="142"/>
      <c r="Y176" s="141"/>
      <c r="Z176" s="141"/>
    </row>
    <row r="177" spans="1:26" x14ac:dyDescent="0.2">
      <c r="A177" s="138"/>
      <c r="B177" s="6"/>
      <c r="C177" s="20"/>
      <c r="D177" s="7"/>
      <c r="E177" s="7"/>
      <c r="F177" s="7"/>
      <c r="G177" s="7"/>
      <c r="H177" s="7"/>
      <c r="I177" s="21"/>
      <c r="J177" s="21"/>
      <c r="K177" s="21"/>
      <c r="L177" s="21"/>
      <c r="M177" s="7"/>
      <c r="N177" s="7"/>
      <c r="P177" s="138"/>
      <c r="Q177" s="138"/>
      <c r="R177" s="138"/>
      <c r="S177" s="141"/>
      <c r="T177" s="141"/>
      <c r="U177" s="141"/>
      <c r="V177" s="141"/>
      <c r="W177" s="141"/>
      <c r="X177" s="142"/>
      <c r="Y177" s="141"/>
      <c r="Z177" s="141"/>
    </row>
    <row r="178" spans="1:26" x14ac:dyDescent="0.2">
      <c r="A178" s="138"/>
      <c r="B178" s="6"/>
      <c r="C178" s="20"/>
      <c r="D178" s="7"/>
      <c r="E178" s="7"/>
      <c r="F178" s="7"/>
      <c r="G178" s="7"/>
      <c r="H178" s="7"/>
      <c r="I178" s="21"/>
      <c r="J178" s="21"/>
      <c r="K178" s="21"/>
      <c r="L178" s="21"/>
      <c r="M178" s="7"/>
      <c r="N178" s="7"/>
      <c r="P178" s="138"/>
      <c r="Q178" s="138"/>
      <c r="R178" s="138"/>
      <c r="S178" s="141"/>
      <c r="T178" s="141"/>
      <c r="U178" s="141"/>
      <c r="V178" s="141"/>
      <c r="W178" s="141"/>
      <c r="X178" s="142"/>
      <c r="Y178" s="141"/>
      <c r="Z178" s="141"/>
    </row>
    <row r="179" spans="1:26" x14ac:dyDescent="0.2">
      <c r="A179" s="138"/>
      <c r="B179" s="6"/>
      <c r="C179" s="20"/>
      <c r="D179" s="7"/>
      <c r="E179" s="7"/>
      <c r="F179" s="7"/>
      <c r="G179" s="7"/>
      <c r="H179" s="7"/>
      <c r="I179" s="21"/>
      <c r="J179" s="21"/>
      <c r="K179" s="21"/>
      <c r="L179" s="21"/>
      <c r="M179" s="7"/>
      <c r="N179" s="7"/>
      <c r="P179" s="138"/>
      <c r="Q179" s="138"/>
      <c r="R179" s="138"/>
      <c r="S179" s="141"/>
      <c r="T179" s="141"/>
      <c r="U179" s="141"/>
      <c r="V179" s="141"/>
      <c r="W179" s="141"/>
      <c r="X179" s="142"/>
      <c r="Y179" s="141"/>
      <c r="Z179" s="141"/>
    </row>
    <row r="180" spans="1:26" x14ac:dyDescent="0.2">
      <c r="A180" s="138"/>
      <c r="B180" s="6"/>
      <c r="C180" s="20"/>
      <c r="D180" s="7"/>
      <c r="E180" s="7"/>
      <c r="F180" s="7"/>
      <c r="G180" s="7"/>
      <c r="H180" s="7"/>
      <c r="I180" s="21"/>
      <c r="J180" s="21"/>
      <c r="K180" s="21"/>
      <c r="L180" s="21"/>
      <c r="M180" s="7"/>
      <c r="N180" s="7"/>
      <c r="P180" s="138"/>
      <c r="Q180" s="138"/>
      <c r="R180" s="138"/>
      <c r="S180" s="141"/>
      <c r="T180" s="141"/>
      <c r="U180" s="141"/>
      <c r="V180" s="141"/>
      <c r="W180" s="141"/>
      <c r="X180" s="142"/>
      <c r="Y180" s="141"/>
      <c r="Z180" s="141"/>
    </row>
    <row r="181" spans="1:26" x14ac:dyDescent="0.2">
      <c r="A181" s="138"/>
      <c r="B181" s="6"/>
      <c r="C181" s="20"/>
      <c r="D181" s="7"/>
      <c r="E181" s="7"/>
      <c r="F181" s="7"/>
      <c r="G181" s="7"/>
      <c r="H181" s="7"/>
      <c r="I181" s="21"/>
      <c r="J181" s="21"/>
      <c r="K181" s="21"/>
      <c r="L181" s="21"/>
      <c r="M181" s="7"/>
      <c r="N181" s="7"/>
      <c r="P181" s="138"/>
      <c r="Q181" s="138"/>
      <c r="R181" s="138"/>
      <c r="S181" s="141"/>
      <c r="T181" s="141"/>
      <c r="U181" s="141"/>
      <c r="V181" s="141"/>
      <c r="W181" s="141"/>
      <c r="X181" s="142"/>
      <c r="Y181" s="141"/>
      <c r="Z181" s="141"/>
    </row>
    <row r="182" spans="1:26" x14ac:dyDescent="0.2">
      <c r="A182" s="138"/>
      <c r="B182" s="6"/>
      <c r="C182" s="20"/>
      <c r="D182" s="7"/>
      <c r="E182" s="7"/>
      <c r="F182" s="7"/>
      <c r="G182" s="7"/>
      <c r="H182" s="7"/>
      <c r="I182" s="21"/>
      <c r="J182" s="21"/>
      <c r="K182" s="21"/>
      <c r="L182" s="21"/>
      <c r="M182" s="7"/>
      <c r="N182" s="7"/>
      <c r="P182" s="138"/>
      <c r="Q182" s="138"/>
      <c r="R182" s="138"/>
      <c r="S182" s="141"/>
      <c r="T182" s="141"/>
      <c r="U182" s="141"/>
      <c r="V182" s="141"/>
      <c r="W182" s="141"/>
      <c r="X182" s="142"/>
      <c r="Y182" s="141"/>
      <c r="Z182" s="141"/>
    </row>
    <row r="183" spans="1:26" x14ac:dyDescent="0.2">
      <c r="A183" s="138"/>
      <c r="B183" s="6"/>
      <c r="C183" s="20"/>
      <c r="D183" s="7"/>
      <c r="E183" s="7"/>
      <c r="F183" s="7"/>
      <c r="G183" s="7"/>
      <c r="H183" s="7"/>
      <c r="I183" s="21"/>
      <c r="J183" s="21"/>
      <c r="K183" s="21"/>
      <c r="L183" s="21"/>
      <c r="M183" s="7"/>
      <c r="N183" s="7"/>
      <c r="P183" s="138"/>
      <c r="Q183" s="138"/>
      <c r="R183" s="138"/>
      <c r="S183" s="141"/>
      <c r="T183" s="141"/>
      <c r="U183" s="141"/>
      <c r="V183" s="141"/>
      <c r="W183" s="141"/>
      <c r="X183" s="142"/>
      <c r="Y183" s="141"/>
      <c r="Z183" s="141"/>
    </row>
    <row r="184" spans="1:26" x14ac:dyDescent="0.2">
      <c r="A184" s="138"/>
      <c r="B184" s="6"/>
      <c r="C184" s="20"/>
      <c r="D184" s="7"/>
      <c r="E184" s="7"/>
      <c r="F184" s="7"/>
      <c r="G184" s="7"/>
      <c r="H184" s="7"/>
      <c r="I184" s="21"/>
      <c r="J184" s="21"/>
      <c r="K184" s="21"/>
      <c r="L184" s="21"/>
      <c r="M184" s="7"/>
      <c r="N184" s="7"/>
      <c r="P184" s="138"/>
      <c r="Q184" s="138"/>
      <c r="R184" s="138"/>
      <c r="S184" s="141"/>
      <c r="T184" s="141"/>
      <c r="U184" s="141"/>
      <c r="V184" s="141"/>
      <c r="W184" s="141"/>
      <c r="X184" s="142"/>
      <c r="Y184" s="141"/>
      <c r="Z184" s="141"/>
    </row>
    <row r="185" spans="1:26" x14ac:dyDescent="0.2">
      <c r="A185" s="138"/>
      <c r="B185" s="6"/>
      <c r="C185" s="20"/>
      <c r="D185" s="7"/>
      <c r="E185" s="7"/>
      <c r="F185" s="7"/>
      <c r="G185" s="7"/>
      <c r="H185" s="7"/>
      <c r="I185" s="21"/>
      <c r="J185" s="21"/>
      <c r="K185" s="21"/>
      <c r="L185" s="21"/>
      <c r="M185" s="7"/>
      <c r="N185" s="7"/>
      <c r="P185" s="138"/>
      <c r="Q185" s="138"/>
      <c r="R185" s="138"/>
      <c r="S185" s="141"/>
      <c r="T185" s="141"/>
      <c r="U185" s="141"/>
      <c r="V185" s="141"/>
      <c r="W185" s="141"/>
      <c r="X185" s="142"/>
      <c r="Y185" s="141"/>
      <c r="Z185" s="141"/>
    </row>
    <row r="186" spans="1:26" x14ac:dyDescent="0.2">
      <c r="A186" s="13"/>
      <c r="B186" s="6"/>
      <c r="C186" s="20"/>
      <c r="D186" s="7"/>
      <c r="E186" s="7"/>
      <c r="F186" s="7"/>
      <c r="G186" s="7"/>
      <c r="H186" s="7"/>
      <c r="I186" s="21"/>
      <c r="J186" s="21"/>
      <c r="K186" s="21"/>
      <c r="L186" s="21"/>
      <c r="M186" s="7"/>
      <c r="N186" s="7"/>
      <c r="P186" s="13"/>
      <c r="Q186" s="7"/>
      <c r="R186" s="7"/>
      <c r="S186" s="7"/>
      <c r="T186" s="7"/>
      <c r="U186" s="7"/>
      <c r="V186" s="7"/>
      <c r="W186" s="7"/>
      <c r="X186" s="7"/>
      <c r="Y186" s="7"/>
      <c r="Z186" s="7"/>
    </row>
    <row r="187" spans="1:26" x14ac:dyDescent="0.2">
      <c r="A187" s="13"/>
      <c r="B187" s="6"/>
      <c r="C187" s="20"/>
      <c r="D187" s="7"/>
      <c r="E187" s="7"/>
      <c r="F187" s="7"/>
      <c r="G187" s="7"/>
      <c r="H187" s="7"/>
      <c r="I187" s="21"/>
      <c r="J187" s="21"/>
      <c r="K187" s="21"/>
      <c r="L187" s="21"/>
      <c r="M187" s="7"/>
      <c r="N187" s="7"/>
      <c r="P187" s="13"/>
      <c r="Q187" s="7"/>
      <c r="R187" s="7"/>
      <c r="S187" s="7"/>
      <c r="T187" s="7"/>
      <c r="U187" s="7"/>
      <c r="V187" s="7"/>
      <c r="W187" s="7"/>
      <c r="X187" s="7"/>
      <c r="Y187" s="7"/>
      <c r="Z187" s="7"/>
    </row>
    <row r="188" spans="1:26" x14ac:dyDescent="0.2">
      <c r="A188" s="13"/>
      <c r="B188" s="6"/>
      <c r="C188" s="20"/>
      <c r="D188" s="7"/>
      <c r="E188" s="7"/>
      <c r="F188" s="7"/>
      <c r="G188" s="7"/>
      <c r="H188" s="7"/>
      <c r="I188" s="21"/>
      <c r="J188" s="21"/>
      <c r="K188" s="21"/>
      <c r="L188" s="21"/>
      <c r="M188" s="7"/>
      <c r="N188" s="7"/>
      <c r="P188" s="13"/>
      <c r="Q188" s="7"/>
      <c r="R188" s="7"/>
      <c r="S188" s="7"/>
      <c r="T188" s="7"/>
      <c r="U188" s="7"/>
      <c r="V188" s="7"/>
      <c r="W188" s="7"/>
      <c r="X188" s="7"/>
      <c r="Y188" s="7"/>
      <c r="Z188" s="7"/>
    </row>
    <row r="189" spans="1:26" x14ac:dyDescent="0.2">
      <c r="A189" s="13"/>
      <c r="B189" s="6"/>
      <c r="C189" s="20"/>
      <c r="D189" s="7"/>
      <c r="E189" s="7"/>
      <c r="F189" s="7"/>
      <c r="G189" s="7"/>
      <c r="H189" s="7"/>
      <c r="I189" s="21"/>
      <c r="J189" s="21"/>
      <c r="K189" s="21"/>
      <c r="L189" s="21"/>
      <c r="M189" s="7"/>
      <c r="N189" s="7"/>
      <c r="P189" s="13"/>
      <c r="Q189" s="7"/>
      <c r="R189" s="7"/>
      <c r="S189" s="7"/>
      <c r="T189" s="7"/>
      <c r="U189" s="7"/>
      <c r="V189" s="7"/>
      <c r="W189" s="7"/>
      <c r="X189" s="7"/>
      <c r="Y189" s="7"/>
      <c r="Z189" s="7"/>
    </row>
    <row r="190" spans="1:26" x14ac:dyDescent="0.2">
      <c r="A190" s="13"/>
      <c r="B190" s="6"/>
      <c r="C190" s="20"/>
      <c r="D190" s="7"/>
      <c r="E190" s="7"/>
      <c r="F190" s="7"/>
      <c r="G190" s="7"/>
      <c r="H190" s="7"/>
      <c r="I190" s="21"/>
      <c r="J190" s="21"/>
      <c r="K190" s="21"/>
      <c r="L190" s="21"/>
      <c r="M190" s="7"/>
      <c r="N190" s="7"/>
      <c r="P190" s="13"/>
      <c r="Q190" s="7"/>
      <c r="R190" s="7"/>
      <c r="S190" s="7"/>
      <c r="T190" s="7"/>
      <c r="U190" s="7"/>
      <c r="V190" s="7"/>
      <c r="W190" s="7"/>
      <c r="X190" s="7"/>
      <c r="Y190" s="7"/>
      <c r="Z190" s="7"/>
    </row>
    <row r="191" spans="1:26" x14ac:dyDescent="0.2">
      <c r="A191" s="13"/>
      <c r="B191" s="6"/>
      <c r="C191" s="20"/>
      <c r="D191" s="7"/>
      <c r="E191" s="7"/>
      <c r="F191" s="7"/>
      <c r="G191" s="7"/>
      <c r="H191" s="7"/>
      <c r="I191" s="21"/>
      <c r="J191" s="21"/>
      <c r="K191" s="21"/>
      <c r="L191" s="21"/>
      <c r="M191" s="7"/>
      <c r="N191" s="7"/>
      <c r="P191" s="13"/>
      <c r="Q191" s="7"/>
      <c r="R191" s="7"/>
      <c r="S191" s="7"/>
      <c r="T191" s="7"/>
      <c r="U191" s="7"/>
      <c r="V191" s="7"/>
      <c r="W191" s="7"/>
      <c r="X191" s="7"/>
      <c r="Y191" s="7"/>
      <c r="Z191" s="7"/>
    </row>
    <row r="192" spans="1:26" x14ac:dyDescent="0.2">
      <c r="A192" s="13"/>
      <c r="B192" s="6"/>
      <c r="C192" s="20"/>
      <c r="D192" s="7"/>
      <c r="E192" s="7"/>
      <c r="F192" s="7"/>
      <c r="G192" s="7"/>
      <c r="H192" s="7"/>
      <c r="I192" s="21"/>
      <c r="J192" s="21"/>
      <c r="K192" s="21"/>
      <c r="L192" s="21"/>
      <c r="M192" s="7"/>
      <c r="N192" s="7"/>
      <c r="P192" s="13"/>
      <c r="Q192" s="7"/>
      <c r="R192" s="7"/>
      <c r="S192" s="7"/>
      <c r="T192" s="7"/>
      <c r="U192" s="7"/>
      <c r="V192" s="7"/>
      <c r="W192" s="7"/>
      <c r="X192" s="7"/>
      <c r="Y192" s="7"/>
      <c r="Z192" s="7"/>
    </row>
    <row r="193" spans="1:26" x14ac:dyDescent="0.2">
      <c r="A193" s="13"/>
      <c r="B193" s="6"/>
      <c r="C193" s="20"/>
      <c r="D193" s="7"/>
      <c r="E193" s="7"/>
      <c r="F193" s="7"/>
      <c r="G193" s="7"/>
      <c r="H193" s="7"/>
      <c r="I193" s="21"/>
      <c r="J193" s="21"/>
      <c r="K193" s="21"/>
      <c r="L193" s="21"/>
      <c r="M193" s="7"/>
      <c r="N193" s="7"/>
      <c r="P193" s="13"/>
      <c r="Q193" s="7"/>
      <c r="R193" s="7"/>
      <c r="S193" s="7"/>
      <c r="T193" s="7"/>
      <c r="U193" s="7"/>
      <c r="V193" s="7"/>
      <c r="W193" s="7"/>
      <c r="X193" s="7"/>
      <c r="Y193" s="7"/>
      <c r="Z193" s="7"/>
    </row>
    <row r="194" spans="1:26" x14ac:dyDescent="0.2">
      <c r="A194" s="13"/>
      <c r="B194" s="6"/>
      <c r="C194" s="20"/>
      <c r="D194" s="7"/>
      <c r="E194" s="7"/>
      <c r="F194" s="7"/>
      <c r="G194" s="7"/>
      <c r="H194" s="7"/>
      <c r="I194" s="21"/>
      <c r="J194" s="21"/>
      <c r="K194" s="21"/>
      <c r="L194" s="21"/>
      <c r="M194" s="7"/>
      <c r="N194" s="7"/>
      <c r="P194" s="13"/>
      <c r="Q194" s="7"/>
      <c r="R194" s="7"/>
      <c r="S194" s="7"/>
      <c r="T194" s="7"/>
      <c r="U194" s="7"/>
      <c r="V194" s="7"/>
      <c r="W194" s="7"/>
      <c r="X194" s="7"/>
      <c r="Y194" s="7"/>
      <c r="Z194" s="7"/>
    </row>
    <row r="195" spans="1:26" x14ac:dyDescent="0.2">
      <c r="A195" s="13"/>
      <c r="B195" s="6"/>
      <c r="C195" s="20"/>
      <c r="D195" s="7"/>
      <c r="E195" s="7"/>
      <c r="F195" s="7"/>
      <c r="G195" s="7"/>
      <c r="H195" s="7"/>
      <c r="I195" s="21"/>
      <c r="J195" s="21"/>
      <c r="K195" s="21"/>
      <c r="L195" s="21"/>
      <c r="M195" s="7"/>
      <c r="N195" s="7"/>
      <c r="P195" s="13"/>
      <c r="Q195" s="7"/>
      <c r="R195" s="7"/>
      <c r="S195" s="7"/>
      <c r="T195" s="7"/>
      <c r="U195" s="7"/>
      <c r="V195" s="7"/>
      <c r="W195" s="7"/>
      <c r="X195" s="7"/>
      <c r="Y195" s="7"/>
      <c r="Z195" s="7"/>
    </row>
    <row r="196" spans="1:26" x14ac:dyDescent="0.2">
      <c r="A196" s="13"/>
      <c r="B196" s="6"/>
      <c r="C196" s="20"/>
      <c r="D196" s="7"/>
      <c r="E196" s="7"/>
      <c r="F196" s="7"/>
      <c r="G196" s="7"/>
      <c r="H196" s="7"/>
      <c r="I196" s="21"/>
      <c r="J196" s="21"/>
      <c r="K196" s="21"/>
      <c r="L196" s="21"/>
      <c r="M196" s="7"/>
      <c r="N196" s="7"/>
      <c r="P196" s="13"/>
      <c r="Q196" s="7"/>
      <c r="R196" s="7"/>
      <c r="S196" s="7"/>
      <c r="T196" s="7"/>
      <c r="U196" s="7"/>
      <c r="V196" s="7"/>
      <c r="W196" s="7"/>
      <c r="X196" s="7"/>
      <c r="Y196" s="7"/>
      <c r="Z196" s="7"/>
    </row>
    <row r="197" spans="1:26" x14ac:dyDescent="0.2">
      <c r="A197" s="13"/>
      <c r="B197" s="6"/>
      <c r="C197" s="20"/>
      <c r="D197" s="7"/>
      <c r="E197" s="7"/>
      <c r="F197" s="7"/>
      <c r="G197" s="7"/>
      <c r="H197" s="7"/>
      <c r="I197" s="21"/>
      <c r="J197" s="21"/>
      <c r="K197" s="21"/>
      <c r="L197" s="21"/>
      <c r="M197" s="7"/>
      <c r="N197" s="7"/>
      <c r="P197" s="13"/>
      <c r="Q197" s="7"/>
      <c r="R197" s="7"/>
      <c r="S197" s="7"/>
      <c r="T197" s="7"/>
      <c r="U197" s="7"/>
      <c r="V197" s="7"/>
      <c r="W197" s="7"/>
      <c r="X197" s="7"/>
      <c r="Y197" s="7"/>
      <c r="Z197" s="7"/>
    </row>
    <row r="198" spans="1:26" x14ac:dyDescent="0.2">
      <c r="A198" s="13"/>
      <c r="B198" s="6"/>
      <c r="C198" s="20"/>
      <c r="D198" s="7"/>
      <c r="E198" s="7"/>
      <c r="F198" s="7"/>
      <c r="G198" s="7"/>
      <c r="H198" s="7"/>
      <c r="I198" s="21"/>
      <c r="J198" s="21"/>
      <c r="K198" s="21"/>
      <c r="L198" s="21"/>
      <c r="M198" s="7"/>
      <c r="N198" s="7"/>
      <c r="P198" s="13"/>
      <c r="Q198" s="7"/>
      <c r="R198" s="7"/>
      <c r="S198" s="7"/>
      <c r="T198" s="7"/>
      <c r="U198" s="7"/>
      <c r="V198" s="7"/>
      <c r="W198" s="7"/>
      <c r="X198" s="7"/>
      <c r="Y198" s="7"/>
      <c r="Z198" s="7"/>
    </row>
    <row r="199" spans="1:26" x14ac:dyDescent="0.2">
      <c r="A199" s="13"/>
      <c r="B199" s="6"/>
      <c r="C199" s="20"/>
      <c r="D199" s="7"/>
      <c r="E199" s="7"/>
      <c r="F199" s="7"/>
      <c r="G199" s="7"/>
      <c r="H199" s="7"/>
      <c r="I199" s="21"/>
      <c r="J199" s="21"/>
      <c r="K199" s="21"/>
      <c r="L199" s="21"/>
      <c r="M199" s="7"/>
      <c r="N199" s="7"/>
      <c r="P199" s="13"/>
      <c r="Q199" s="7"/>
      <c r="R199" s="7"/>
      <c r="S199" s="7"/>
      <c r="T199" s="7"/>
      <c r="U199" s="7"/>
      <c r="V199" s="7"/>
      <c r="W199" s="7"/>
      <c r="X199" s="7"/>
      <c r="Y199" s="7"/>
      <c r="Z199" s="7"/>
    </row>
    <row r="200" spans="1:26" x14ac:dyDescent="0.2">
      <c r="A200" s="13"/>
      <c r="B200" s="6"/>
      <c r="C200" s="20"/>
      <c r="D200" s="7"/>
      <c r="E200" s="7"/>
      <c r="F200" s="7"/>
      <c r="G200" s="7"/>
      <c r="H200" s="7"/>
      <c r="I200" s="21"/>
      <c r="J200" s="21"/>
      <c r="K200" s="21"/>
      <c r="L200" s="21"/>
      <c r="M200" s="7"/>
      <c r="N200" s="7"/>
      <c r="P200" s="13"/>
      <c r="Q200" s="7"/>
      <c r="R200" s="7"/>
      <c r="S200" s="7"/>
      <c r="T200" s="7"/>
      <c r="U200" s="7"/>
      <c r="V200" s="7"/>
      <c r="W200" s="7"/>
      <c r="X200" s="7"/>
      <c r="Y200" s="7"/>
      <c r="Z200" s="7"/>
    </row>
    <row r="201" spans="1:26" x14ac:dyDescent="0.2">
      <c r="A201" s="13"/>
      <c r="B201" s="6"/>
      <c r="C201" s="20"/>
      <c r="D201" s="7"/>
      <c r="E201" s="7"/>
      <c r="F201" s="7"/>
      <c r="G201" s="7"/>
      <c r="H201" s="7"/>
      <c r="I201" s="21"/>
      <c r="J201" s="21"/>
      <c r="K201" s="21"/>
      <c r="L201" s="21"/>
      <c r="M201" s="7"/>
      <c r="N201" s="7"/>
      <c r="P201" s="13"/>
      <c r="Q201" s="7"/>
      <c r="R201" s="7"/>
      <c r="S201" s="7"/>
      <c r="T201" s="7"/>
      <c r="U201" s="7"/>
      <c r="V201" s="7"/>
      <c r="W201" s="7"/>
      <c r="X201" s="7"/>
      <c r="Y201" s="7"/>
      <c r="Z201" s="7"/>
    </row>
    <row r="202" spans="1:26" x14ac:dyDescent="0.2">
      <c r="A202" s="13"/>
      <c r="B202" s="6"/>
      <c r="C202" s="20"/>
      <c r="D202" s="7"/>
      <c r="E202" s="7"/>
      <c r="F202" s="7"/>
      <c r="G202" s="7"/>
      <c r="H202" s="7"/>
      <c r="I202" s="21"/>
      <c r="J202" s="21"/>
      <c r="K202" s="21"/>
      <c r="L202" s="21"/>
      <c r="M202" s="7"/>
      <c r="N202" s="7"/>
      <c r="P202" s="13"/>
      <c r="Q202" s="7"/>
      <c r="R202" s="7"/>
      <c r="S202" s="7"/>
      <c r="T202" s="7"/>
      <c r="U202" s="7"/>
      <c r="V202" s="7"/>
      <c r="W202" s="7"/>
      <c r="X202" s="7"/>
      <c r="Y202" s="7"/>
      <c r="Z202" s="7"/>
    </row>
    <row r="203" spans="1:26" x14ac:dyDescent="0.2">
      <c r="A203" s="13"/>
      <c r="B203" s="6"/>
      <c r="C203" s="20"/>
      <c r="D203" s="7"/>
      <c r="E203" s="7"/>
      <c r="F203" s="7"/>
      <c r="G203" s="7"/>
      <c r="H203" s="7"/>
      <c r="I203" s="21"/>
      <c r="J203" s="21"/>
      <c r="K203" s="21"/>
      <c r="L203" s="21"/>
      <c r="M203" s="7"/>
      <c r="N203" s="7"/>
      <c r="P203" s="13"/>
      <c r="Q203" s="7"/>
      <c r="R203" s="7"/>
      <c r="S203" s="7"/>
      <c r="T203" s="7"/>
      <c r="U203" s="7"/>
      <c r="V203" s="7"/>
      <c r="W203" s="7"/>
      <c r="X203" s="7"/>
      <c r="Y203" s="7"/>
      <c r="Z203" s="7"/>
    </row>
    <row r="204" spans="1:26" x14ac:dyDescent="0.2">
      <c r="A204" s="13"/>
      <c r="B204" s="6"/>
      <c r="C204" s="20"/>
      <c r="D204" s="7"/>
      <c r="E204" s="7"/>
      <c r="F204" s="7"/>
      <c r="G204" s="7"/>
      <c r="H204" s="7"/>
      <c r="I204" s="21"/>
      <c r="J204" s="21"/>
      <c r="K204" s="21"/>
      <c r="L204" s="21"/>
      <c r="M204" s="7"/>
      <c r="N204" s="7"/>
      <c r="P204" s="13"/>
      <c r="Q204" s="7"/>
      <c r="R204" s="7"/>
      <c r="S204" s="7"/>
      <c r="T204" s="7"/>
      <c r="U204" s="7"/>
      <c r="V204" s="7"/>
      <c r="W204" s="7"/>
      <c r="X204" s="7"/>
      <c r="Y204" s="7"/>
      <c r="Z204" s="7"/>
    </row>
    <row r="205" spans="1:26" x14ac:dyDescent="0.2">
      <c r="A205" s="13"/>
      <c r="B205" s="6"/>
      <c r="C205" s="20"/>
      <c r="D205" s="7"/>
      <c r="E205" s="7"/>
      <c r="F205" s="7"/>
      <c r="G205" s="7"/>
      <c r="H205" s="7"/>
      <c r="I205" s="21"/>
      <c r="J205" s="21"/>
      <c r="K205" s="21"/>
      <c r="L205" s="21"/>
      <c r="M205" s="7"/>
      <c r="N205" s="7"/>
      <c r="P205" s="13"/>
      <c r="Q205" s="7"/>
      <c r="R205" s="7"/>
      <c r="S205" s="7"/>
      <c r="T205" s="7"/>
      <c r="U205" s="7"/>
      <c r="V205" s="7"/>
      <c r="W205" s="7"/>
      <c r="X205" s="7"/>
      <c r="Y205" s="7"/>
      <c r="Z205" s="7"/>
    </row>
    <row r="206" spans="1:26" x14ac:dyDescent="0.2">
      <c r="A206" s="13"/>
      <c r="B206" s="6"/>
      <c r="C206" s="20"/>
      <c r="D206" s="7"/>
      <c r="E206" s="7"/>
      <c r="F206" s="7"/>
      <c r="G206" s="7"/>
      <c r="H206" s="7"/>
      <c r="I206" s="21"/>
      <c r="J206" s="21"/>
      <c r="K206" s="21"/>
      <c r="L206" s="21"/>
      <c r="M206" s="7"/>
      <c r="N206" s="7"/>
      <c r="P206" s="13"/>
      <c r="Q206" s="7"/>
      <c r="R206" s="7"/>
      <c r="S206" s="7"/>
      <c r="T206" s="7"/>
      <c r="U206" s="7"/>
      <c r="V206" s="7"/>
      <c r="W206" s="7"/>
      <c r="X206" s="7"/>
      <c r="Y206" s="7"/>
      <c r="Z206" s="7"/>
    </row>
    <row r="207" spans="1:26" x14ac:dyDescent="0.2">
      <c r="A207" s="13"/>
      <c r="B207" s="6"/>
      <c r="C207" s="20"/>
      <c r="D207" s="7"/>
      <c r="E207" s="7"/>
      <c r="F207" s="7"/>
      <c r="G207" s="7"/>
      <c r="H207" s="7"/>
      <c r="I207" s="21"/>
      <c r="J207" s="21"/>
      <c r="K207" s="21"/>
      <c r="L207" s="21"/>
      <c r="M207" s="7"/>
      <c r="N207" s="7"/>
      <c r="P207" s="13"/>
      <c r="Q207" s="7"/>
      <c r="R207" s="7"/>
      <c r="S207" s="7"/>
      <c r="T207" s="7"/>
      <c r="U207" s="7"/>
      <c r="V207" s="7"/>
      <c r="W207" s="7"/>
      <c r="X207" s="7"/>
      <c r="Y207" s="7"/>
      <c r="Z207" s="7"/>
    </row>
    <row r="208" spans="1:26" x14ac:dyDescent="0.2">
      <c r="A208" s="47"/>
      <c r="B208" s="6"/>
      <c r="C208" s="20"/>
      <c r="D208" s="7"/>
      <c r="E208" s="7"/>
      <c r="F208" s="7"/>
      <c r="G208" s="7"/>
      <c r="H208" s="7"/>
      <c r="I208" s="21"/>
      <c r="J208" s="21"/>
      <c r="K208" s="21"/>
      <c r="L208" s="21"/>
      <c r="M208" s="7"/>
      <c r="N208" s="7"/>
      <c r="P208" s="13"/>
      <c r="Q208" s="7"/>
      <c r="R208" s="7"/>
      <c r="S208" s="7"/>
      <c r="T208" s="7"/>
      <c r="U208" s="7"/>
      <c r="V208" s="7"/>
      <c r="W208" s="7"/>
      <c r="X208" s="7"/>
      <c r="Y208" s="7"/>
      <c r="Z208" s="7"/>
    </row>
    <row r="209" spans="1:26" x14ac:dyDescent="0.2">
      <c r="A209" s="47"/>
      <c r="B209" s="6"/>
      <c r="C209" s="20"/>
      <c r="D209" s="7"/>
      <c r="E209" s="7"/>
      <c r="F209" s="7"/>
      <c r="G209" s="7"/>
      <c r="H209" s="7"/>
      <c r="I209" s="21"/>
      <c r="J209" s="21"/>
      <c r="K209" s="21"/>
      <c r="L209" s="21"/>
      <c r="M209" s="7"/>
      <c r="N209" s="7"/>
      <c r="P209" s="13"/>
      <c r="Q209" s="7"/>
      <c r="R209" s="7"/>
      <c r="S209" s="7"/>
      <c r="T209" s="7"/>
      <c r="U209" s="7"/>
      <c r="V209" s="7"/>
      <c r="W209" s="7"/>
      <c r="X209" s="7"/>
      <c r="Y209" s="7"/>
      <c r="Z209" s="7"/>
    </row>
    <row r="210" spans="1:26" x14ac:dyDescent="0.2">
      <c r="A210" s="47"/>
      <c r="B210" s="6"/>
      <c r="C210" s="20"/>
      <c r="D210" s="7"/>
      <c r="E210" s="7"/>
      <c r="F210" s="7"/>
      <c r="G210" s="7"/>
      <c r="H210" s="7"/>
      <c r="I210" s="21"/>
      <c r="J210" s="21"/>
      <c r="K210" s="21"/>
      <c r="L210" s="21"/>
      <c r="M210" s="7"/>
      <c r="N210" s="7"/>
      <c r="P210" s="13"/>
      <c r="Q210" s="7"/>
      <c r="R210" s="7"/>
      <c r="S210" s="7"/>
      <c r="T210" s="7"/>
      <c r="U210" s="7"/>
      <c r="V210" s="7"/>
      <c r="W210" s="7"/>
      <c r="X210" s="7"/>
      <c r="Y210" s="7"/>
      <c r="Z210" s="7"/>
    </row>
    <row r="211" spans="1:26" x14ac:dyDescent="0.2">
      <c r="A211" s="47"/>
      <c r="B211" s="6"/>
      <c r="C211" s="20"/>
      <c r="D211" s="7"/>
      <c r="E211" s="7"/>
      <c r="F211" s="7"/>
      <c r="G211" s="7"/>
      <c r="H211" s="7"/>
      <c r="I211" s="21"/>
      <c r="J211" s="21"/>
      <c r="K211" s="21"/>
      <c r="L211" s="21"/>
      <c r="M211" s="7"/>
      <c r="N211" s="7"/>
      <c r="P211" s="13"/>
      <c r="Q211" s="7"/>
      <c r="R211" s="7"/>
      <c r="S211" s="7"/>
      <c r="T211" s="7"/>
      <c r="U211" s="7"/>
      <c r="V211" s="7"/>
      <c r="W211" s="7"/>
      <c r="X211" s="7"/>
      <c r="Y211" s="7"/>
      <c r="Z211" s="7"/>
    </row>
    <row r="212" spans="1:26" x14ac:dyDescent="0.2">
      <c r="A212" s="47"/>
      <c r="B212" s="6"/>
      <c r="C212" s="20"/>
      <c r="D212" s="7"/>
      <c r="E212" s="7"/>
      <c r="F212" s="7"/>
      <c r="G212" s="7"/>
      <c r="H212" s="7"/>
      <c r="I212" s="21"/>
      <c r="J212" s="21"/>
      <c r="K212" s="21"/>
      <c r="L212" s="21"/>
      <c r="M212" s="7"/>
      <c r="N212" s="7"/>
      <c r="P212" s="13"/>
      <c r="Q212" s="7"/>
      <c r="R212" s="7"/>
      <c r="S212" s="7"/>
      <c r="T212" s="7"/>
      <c r="U212" s="7"/>
      <c r="V212" s="7"/>
      <c r="W212" s="7"/>
      <c r="X212" s="7"/>
      <c r="Y212" s="7"/>
      <c r="Z212" s="7"/>
    </row>
    <row r="213" spans="1:26" x14ac:dyDescent="0.2">
      <c r="A213" s="47"/>
      <c r="B213" s="6"/>
      <c r="C213" s="20"/>
      <c r="D213" s="7"/>
      <c r="E213" s="7"/>
      <c r="F213" s="7"/>
      <c r="G213" s="7"/>
      <c r="H213" s="7"/>
      <c r="I213" s="21"/>
      <c r="J213" s="21"/>
      <c r="K213" s="21"/>
      <c r="L213" s="21"/>
      <c r="M213" s="7"/>
      <c r="N213" s="7"/>
      <c r="P213" s="13"/>
      <c r="Q213" s="7"/>
      <c r="R213" s="7"/>
      <c r="S213" s="7"/>
      <c r="T213" s="7"/>
      <c r="U213" s="7"/>
      <c r="V213" s="7"/>
      <c r="W213" s="7"/>
      <c r="X213" s="7"/>
      <c r="Y213" s="7"/>
      <c r="Z213" s="7"/>
    </row>
    <row r="214" spans="1:26" x14ac:dyDescent="0.2">
      <c r="A214" s="47"/>
      <c r="B214" s="6"/>
      <c r="C214" s="20"/>
      <c r="D214" s="7"/>
      <c r="E214" s="7"/>
      <c r="F214" s="7"/>
      <c r="G214" s="7"/>
      <c r="H214" s="7"/>
      <c r="I214" s="21"/>
      <c r="J214" s="21"/>
      <c r="K214" s="21"/>
      <c r="L214" s="21"/>
      <c r="M214" s="7"/>
      <c r="N214" s="7"/>
      <c r="P214" s="13"/>
      <c r="Q214" s="7"/>
      <c r="R214" s="7"/>
      <c r="S214" s="7"/>
      <c r="T214" s="7"/>
      <c r="U214" s="7"/>
      <c r="V214" s="7"/>
      <c r="W214" s="7"/>
      <c r="X214" s="7"/>
      <c r="Y214" s="7"/>
      <c r="Z214" s="7"/>
    </row>
    <row r="215" spans="1:26" x14ac:dyDescent="0.2">
      <c r="A215" s="47"/>
      <c r="B215" s="6"/>
      <c r="C215" s="20"/>
      <c r="D215" s="7"/>
      <c r="E215" s="7"/>
      <c r="F215" s="7"/>
      <c r="G215" s="7"/>
      <c r="H215" s="7"/>
      <c r="I215" s="21"/>
      <c r="J215" s="21"/>
      <c r="K215" s="21"/>
      <c r="L215" s="21"/>
      <c r="M215" s="7"/>
      <c r="N215" s="7"/>
      <c r="P215" s="13"/>
      <c r="Q215" s="7"/>
      <c r="R215" s="7"/>
      <c r="S215" s="7"/>
      <c r="T215" s="7"/>
      <c r="U215" s="7"/>
      <c r="V215" s="7"/>
      <c r="W215" s="7"/>
      <c r="X215" s="7"/>
      <c r="Y215" s="7"/>
      <c r="Z215" s="7"/>
    </row>
    <row r="216" spans="1:26" x14ac:dyDescent="0.2">
      <c r="A216" s="47"/>
      <c r="B216" s="6"/>
      <c r="C216" s="20"/>
      <c r="D216" s="7"/>
      <c r="E216" s="7"/>
      <c r="F216" s="7"/>
      <c r="G216" s="7"/>
      <c r="H216" s="7"/>
      <c r="I216" s="21"/>
      <c r="J216" s="21"/>
      <c r="K216" s="21"/>
      <c r="L216" s="21"/>
      <c r="M216" s="7"/>
      <c r="N216" s="7"/>
      <c r="P216" s="13"/>
      <c r="Q216" s="7"/>
      <c r="R216" s="7"/>
      <c r="S216" s="7"/>
      <c r="T216" s="7"/>
      <c r="U216" s="7"/>
      <c r="V216" s="7"/>
      <c r="W216" s="7"/>
      <c r="X216" s="7"/>
      <c r="Y216" s="7"/>
      <c r="Z216" s="7"/>
    </row>
    <row r="217" spans="1:26" x14ac:dyDescent="0.2">
      <c r="A217" s="47"/>
      <c r="B217" s="6"/>
      <c r="C217" s="20"/>
      <c r="D217" s="7"/>
      <c r="E217" s="7"/>
      <c r="F217" s="7"/>
      <c r="G217" s="7"/>
      <c r="H217" s="7"/>
      <c r="I217" s="21"/>
      <c r="J217" s="21"/>
      <c r="K217" s="21"/>
      <c r="L217" s="21"/>
      <c r="M217" s="7"/>
      <c r="N217" s="7"/>
      <c r="P217" s="13"/>
      <c r="Q217" s="7"/>
      <c r="R217" s="7"/>
      <c r="S217" s="7"/>
      <c r="T217" s="7"/>
      <c r="U217" s="7"/>
      <c r="V217" s="7"/>
      <c r="W217" s="7"/>
      <c r="X217" s="7"/>
      <c r="Y217" s="7"/>
      <c r="Z217" s="7"/>
    </row>
    <row r="218" spans="1:26" x14ac:dyDescent="0.2">
      <c r="A218" s="47"/>
      <c r="B218" s="6"/>
      <c r="C218" s="20"/>
      <c r="D218" s="7"/>
      <c r="E218" s="7"/>
      <c r="F218" s="7"/>
      <c r="G218" s="7"/>
      <c r="H218" s="7"/>
      <c r="I218" s="21"/>
      <c r="J218" s="21"/>
      <c r="K218" s="21"/>
      <c r="L218" s="21"/>
      <c r="M218" s="7"/>
      <c r="N218" s="7"/>
      <c r="P218" s="13"/>
      <c r="Q218" s="7"/>
      <c r="R218" s="7"/>
      <c r="S218" s="7"/>
      <c r="T218" s="7"/>
      <c r="U218" s="7"/>
      <c r="V218" s="7"/>
      <c r="W218" s="7"/>
      <c r="X218" s="7"/>
      <c r="Y218" s="7"/>
      <c r="Z218" s="7"/>
    </row>
    <row r="219" spans="1:26" x14ac:dyDescent="0.2">
      <c r="A219" s="47"/>
      <c r="B219" s="6"/>
      <c r="C219" s="20"/>
      <c r="D219" s="7"/>
      <c r="E219" s="7"/>
      <c r="F219" s="7"/>
      <c r="G219" s="7"/>
      <c r="H219" s="7"/>
      <c r="I219" s="21"/>
      <c r="J219" s="21"/>
      <c r="K219" s="21"/>
      <c r="L219" s="21"/>
      <c r="M219" s="7"/>
      <c r="N219" s="7"/>
      <c r="P219" s="13"/>
      <c r="Q219" s="7"/>
      <c r="R219" s="7"/>
      <c r="S219" s="7"/>
      <c r="T219" s="7"/>
      <c r="U219" s="7"/>
      <c r="V219" s="7"/>
      <c r="W219" s="7"/>
      <c r="X219" s="7"/>
      <c r="Y219" s="7"/>
      <c r="Z219" s="7"/>
    </row>
    <row r="220" spans="1:26" x14ac:dyDescent="0.2">
      <c r="A220" s="47"/>
      <c r="B220" s="6"/>
      <c r="C220" s="20"/>
      <c r="D220" s="7"/>
      <c r="E220" s="7"/>
      <c r="F220" s="7"/>
      <c r="G220" s="7"/>
      <c r="H220" s="7"/>
      <c r="I220" s="21"/>
      <c r="J220" s="21"/>
      <c r="K220" s="21"/>
      <c r="L220" s="21"/>
      <c r="M220" s="7"/>
      <c r="N220" s="7"/>
      <c r="P220" s="13"/>
      <c r="Q220" s="7"/>
      <c r="R220" s="7"/>
      <c r="S220" s="7"/>
      <c r="T220" s="7"/>
      <c r="U220" s="7"/>
      <c r="V220" s="7"/>
      <c r="W220" s="7"/>
      <c r="X220" s="7"/>
      <c r="Y220" s="7"/>
      <c r="Z220" s="7"/>
    </row>
    <row r="221" spans="1:26" x14ac:dyDescent="0.2">
      <c r="A221" s="47"/>
      <c r="B221" s="6"/>
      <c r="C221" s="20"/>
      <c r="D221" s="7"/>
      <c r="E221" s="7"/>
      <c r="F221" s="7"/>
      <c r="G221" s="7"/>
      <c r="H221" s="7"/>
      <c r="I221" s="21"/>
      <c r="J221" s="21"/>
      <c r="K221" s="21"/>
      <c r="L221" s="21"/>
      <c r="M221" s="7"/>
      <c r="N221" s="7"/>
      <c r="P221" s="13"/>
      <c r="Q221" s="7"/>
      <c r="R221" s="7"/>
      <c r="S221" s="7"/>
      <c r="T221" s="7"/>
      <c r="U221" s="7"/>
      <c r="V221" s="7"/>
      <c r="W221" s="7"/>
      <c r="X221" s="7"/>
      <c r="Y221" s="7"/>
      <c r="Z221" s="7"/>
    </row>
    <row r="222" spans="1:26" x14ac:dyDescent="0.2">
      <c r="A222" s="47"/>
      <c r="B222" s="6"/>
      <c r="C222" s="20"/>
      <c r="D222" s="7"/>
      <c r="E222" s="7"/>
      <c r="F222" s="7"/>
      <c r="G222" s="7"/>
      <c r="H222" s="7"/>
      <c r="I222" s="21"/>
      <c r="J222" s="21"/>
      <c r="K222" s="21"/>
      <c r="L222" s="21"/>
      <c r="M222" s="7"/>
      <c r="N222" s="7"/>
      <c r="P222" s="13"/>
      <c r="Q222" s="7"/>
      <c r="R222" s="7"/>
      <c r="S222" s="7"/>
      <c r="T222" s="7"/>
      <c r="U222" s="7"/>
      <c r="V222" s="7"/>
      <c r="W222" s="7"/>
      <c r="X222" s="7"/>
      <c r="Y222" s="7"/>
      <c r="Z222" s="7"/>
    </row>
    <row r="223" spans="1:26" x14ac:dyDescent="0.2">
      <c r="A223" s="47"/>
      <c r="B223" s="6"/>
      <c r="C223" s="20"/>
      <c r="D223" s="7"/>
      <c r="E223" s="7"/>
      <c r="F223" s="7"/>
      <c r="G223" s="7"/>
      <c r="H223" s="7"/>
      <c r="I223" s="21"/>
      <c r="J223" s="21"/>
      <c r="K223" s="21"/>
      <c r="L223" s="21"/>
      <c r="M223" s="7"/>
      <c r="N223" s="7"/>
      <c r="P223" s="13"/>
      <c r="Q223" s="7"/>
      <c r="R223" s="7"/>
      <c r="S223" s="7"/>
      <c r="T223" s="7"/>
      <c r="U223" s="7"/>
      <c r="V223" s="7"/>
      <c r="W223" s="7"/>
      <c r="X223" s="7"/>
      <c r="Y223" s="7"/>
      <c r="Z223" s="7"/>
    </row>
    <row r="224" spans="1:26" x14ac:dyDescent="0.2">
      <c r="A224" s="47"/>
      <c r="B224" s="6"/>
      <c r="C224" s="20"/>
      <c r="D224" s="7"/>
      <c r="E224" s="7"/>
      <c r="F224" s="7"/>
      <c r="G224" s="7"/>
      <c r="H224" s="7"/>
      <c r="I224" s="21"/>
      <c r="J224" s="21"/>
      <c r="K224" s="21"/>
      <c r="L224" s="21"/>
      <c r="M224" s="7"/>
      <c r="N224" s="7"/>
      <c r="P224" s="13"/>
      <c r="Q224" s="7"/>
      <c r="R224" s="7"/>
      <c r="S224" s="7"/>
      <c r="T224" s="7"/>
      <c r="U224" s="7"/>
      <c r="V224" s="7"/>
      <c r="W224" s="7"/>
      <c r="X224" s="7"/>
      <c r="Y224" s="7"/>
      <c r="Z224" s="7"/>
    </row>
    <row r="225" spans="1:31" x14ac:dyDescent="0.2">
      <c r="A225" s="47"/>
      <c r="B225" s="6"/>
      <c r="C225" s="20"/>
      <c r="D225" s="7"/>
      <c r="E225" s="7"/>
      <c r="F225" s="7"/>
      <c r="G225" s="7"/>
      <c r="H225" s="7"/>
      <c r="I225" s="21"/>
      <c r="J225" s="21"/>
      <c r="K225" s="21"/>
      <c r="L225" s="21"/>
      <c r="M225" s="7"/>
      <c r="N225" s="7"/>
      <c r="P225" s="13"/>
      <c r="Q225" s="7"/>
      <c r="R225" s="7"/>
      <c r="S225" s="7"/>
      <c r="T225" s="7"/>
      <c r="U225" s="7"/>
      <c r="V225" s="7"/>
      <c r="W225" s="7"/>
      <c r="X225" s="7"/>
      <c r="Y225" s="7"/>
      <c r="Z225" s="7"/>
    </row>
    <row r="226" spans="1:31" x14ac:dyDescent="0.2">
      <c r="A226" s="47"/>
      <c r="B226" s="6"/>
      <c r="C226" s="20"/>
      <c r="D226" s="7"/>
      <c r="E226" s="7"/>
      <c r="F226" s="7"/>
      <c r="G226" s="7"/>
      <c r="H226" s="7"/>
      <c r="I226" s="21"/>
      <c r="J226" s="21"/>
      <c r="K226" s="21"/>
      <c r="L226" s="21"/>
      <c r="M226" s="7"/>
      <c r="N226" s="7"/>
      <c r="P226" s="13"/>
      <c r="Q226" s="7"/>
      <c r="R226" s="7"/>
      <c r="S226" s="7"/>
      <c r="T226" s="7"/>
      <c r="U226" s="7"/>
      <c r="V226" s="7"/>
      <c r="W226" s="7"/>
      <c r="X226" s="7"/>
      <c r="Y226" s="7"/>
      <c r="Z226" s="7"/>
      <c r="AE226" s="1" t="s">
        <v>488</v>
      </c>
    </row>
  </sheetData>
  <mergeCells count="16">
    <mergeCell ref="V1:V185"/>
    <mergeCell ref="W1:W185"/>
    <mergeCell ref="Y1:Y185"/>
    <mergeCell ref="Z1:Z185"/>
    <mergeCell ref="Q1:Q185"/>
    <mergeCell ref="R1:R185"/>
    <mergeCell ref="S1:S185"/>
    <mergeCell ref="T1:T185"/>
    <mergeCell ref="U1:U185"/>
    <mergeCell ref="X1:X185"/>
    <mergeCell ref="A1:A185"/>
    <mergeCell ref="P1:P185"/>
    <mergeCell ref="B2:O2"/>
    <mergeCell ref="B4:O5"/>
    <mergeCell ref="B65:O66"/>
    <mergeCell ref="C64:N64"/>
  </mergeCells>
  <phoneticPr fontId="11" type="noConversion"/>
  <conditionalFormatting sqref="I1:I1048576">
    <cfRule type="expression" dxfId="3" priority="11">
      <formula>AND(ISNUMBER(I1), I1 &lt;= TODAY())</formula>
    </cfRule>
  </conditionalFormatting>
  <conditionalFormatting sqref="C1:C1048576">
    <cfRule type="expression" dxfId="2" priority="7" stopIfTrue="1">
      <formula>AND(ISNUMBER($C1), $C1&lt;=TODAY(), TODAY()-$C1&gt;=28)</formula>
    </cfRule>
    <cfRule type="expression" dxfId="1" priority="8" stopIfTrue="1">
      <formula>AND(ISNUMBER($C1), $C1&lt;=TODAY(), TODAY()-$C1&gt;=21, TODAY()-$C1&lt;28)</formula>
    </cfRule>
  </conditionalFormatting>
  <conditionalFormatting sqref="D1:D1048576">
    <cfRule type="expression" dxfId="0" priority="33027">
      <formula>AND(SUBSTITUTE(D1," ","")&lt;&gt;"",SUMPRODUCT(--(SUBSTITUTE($D$7:$D$848," ","")=SUBSTITUTE(D1," ","")))&gt;1)</formula>
    </cfRule>
  </conditionalFormatting>
  <hyperlinks>
    <hyperlink ref="L7" r:id="rId1" xr:uid="{3E28712C-BE11-4B1B-B6DD-78BA2520CC92}"/>
    <hyperlink ref="L7" r:id="rId2" xr:uid="{54D7FDEF-5673-4BB2-9340-D2919B48EF57}"/>
    <hyperlink ref="L10" r:id="rId3" xr:uid="{8D021645-C4B8-4FF0-92C6-83AB79E8DEC6}"/>
    <hyperlink ref="L14" r:id="rId4" xr:uid="{5878BC6F-70C9-4D8B-B38A-CAE9A73B9F60}"/>
    <hyperlink ref="L16" r:id="rId5" xr:uid="{50C86324-0218-4207-AE13-B3474DCA5552}"/>
    <hyperlink ref="L20" r:id="rId6" xr:uid="{B705665B-58D6-4CAC-90D7-FAB7D5AAD56A}"/>
    <hyperlink ref="L30" r:id="rId7" xr:uid="{D989C8D9-DA8D-47F4-B71F-802F2A357411}"/>
    <hyperlink ref="L31" r:id="rId8" xr:uid="{CC527744-EBBF-4AC1-9C70-4CD241095C83}"/>
    <hyperlink ref="L31" r:id="rId9" xr:uid="{0468E616-1AC4-4C0D-BB2F-84EFD1E94080}"/>
    <hyperlink ref="L33" r:id="rId10" xr:uid="{E30A9DB6-7890-4019-A0EA-0B09B349058A}"/>
    <hyperlink ref="L68" r:id="rId11" xr:uid="{0598DB16-84A3-4DDC-ADB2-CEE39819F4FC}"/>
    <hyperlink ref="L70" r:id="rId12" xr:uid="{1B964780-5343-4586-9545-3AB8B902AD78}"/>
    <hyperlink ref="L40" r:id="rId13" xr:uid="{AF5035F9-0F71-4785-9509-5968D4817697}"/>
    <hyperlink ref="L43" r:id="rId14" xr:uid="{30366482-E6D6-4A20-9121-67BD5C06F034}"/>
    <hyperlink ref="L43" r:id="rId15" xr:uid="{EFC41137-6E7B-411B-918F-F02F8AE52196}"/>
    <hyperlink ref="L44" r:id="rId16" xr:uid="{8A7D25E9-3628-496F-8716-A14CF6134081}"/>
    <hyperlink ref="L72" r:id="rId17" xr:uid="{BE6DF195-B0D2-41B5-8285-3AD5E2CEB10F}"/>
    <hyperlink ref="L54" r:id="rId18" xr:uid="{836E7C15-A449-4F24-B6E2-FECF36FCFDC9}"/>
    <hyperlink ref="L76" r:id="rId19" xr:uid="{722CEB3A-592D-4AD4-A842-3E6FAD2E43F0}"/>
    <hyperlink ref="L77" r:id="rId20" xr:uid="{F8AF4292-877B-40F1-989B-34FFB87A3595}"/>
    <hyperlink ref="L78" r:id="rId21" xr:uid="{EA3FC6CA-E8FE-4E14-9B1B-2D29B250DCF7}"/>
    <hyperlink ref="L79" r:id="rId22" xr:uid="{3717D448-0ED5-4EBE-AA9F-C91C02DA601A}"/>
    <hyperlink ref="L80" r:id="rId23" xr:uid="{FF8A5025-8E32-4307-B871-C93A6AE579F4}"/>
    <hyperlink ref="L81" r:id="rId24" xr:uid="{818E1EA3-F642-48A1-A49B-157A88CF39AF}"/>
    <hyperlink ref="L56" r:id="rId25" xr:uid="{2C71139D-AFA9-4B3E-98E9-0027C219D123}"/>
    <hyperlink ref="L82" r:id="rId26" xr:uid="{631A6644-E5EF-49B6-A34F-AE63E136AF33}"/>
    <hyperlink ref="L85" r:id="rId27" xr:uid="{21448E19-9D38-4C2C-9C90-B903370BDC09}"/>
    <hyperlink ref="L86" r:id="rId28" xr:uid="{919A5D6E-356E-42A5-A8F3-331335D883A7}"/>
    <hyperlink ref="L87" r:id="rId29" xr:uid="{19638DF7-6B60-4EC9-8341-50D279B76ED6}"/>
    <hyperlink ref="L88" r:id="rId30" xr:uid="{7009D242-33BF-469B-A023-BA5EB042D847}"/>
    <hyperlink ref="L59" r:id="rId31" xr:uid="{D61283C5-BA2D-4AEC-AF7D-C27C32CD3DD6}"/>
  </hyperlinks>
  <pageMargins left="0.7" right="0.7" top="0.75" bottom="0.75" header="0.3" footer="0.3"/>
  <pageSetup scale="125" fitToWidth="0" fitToHeight="0" orientation="landscape" r:id="rId32"/>
  <drawing r:id="rId3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4D877-E139-41EC-B2A0-C576167407A3}">
  <dimension ref="A1:B2"/>
  <sheetViews>
    <sheetView workbookViewId="0"/>
  </sheetViews>
  <sheetFormatPr defaultRowHeight="12.75" x14ac:dyDescent="0.2"/>
  <cols>
    <col min="1" max="1" width="12.42578125" customWidth="1"/>
    <col min="2" max="2" width="18.85546875" customWidth="1"/>
  </cols>
  <sheetData>
    <row r="1" spans="1:2" x14ac:dyDescent="0.2">
      <c r="A1" t="s">
        <v>560</v>
      </c>
      <c r="B1" t="s">
        <v>561</v>
      </c>
    </row>
    <row r="2" spans="1:2" x14ac:dyDescent="0.2">
      <c r="A2" t="s">
        <v>562</v>
      </c>
      <c r="B2" t="s">
        <v>563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3ACF7-A9DF-4BEB-8D8A-94DD192DB62B}">
  <sheetPr codeName="Sheet1"/>
  <dimension ref="A1:Z167"/>
  <sheetViews>
    <sheetView topLeftCell="A34" zoomScaleNormal="100" workbookViewId="0">
      <selection activeCell="G39" sqref="G39"/>
    </sheetView>
  </sheetViews>
  <sheetFormatPr defaultColWidth="9.140625" defaultRowHeight="15" x14ac:dyDescent="0.2"/>
  <cols>
    <col min="1" max="1" width="8.85546875" style="30" customWidth="1"/>
    <col min="2" max="2" width="26.42578125" style="30" customWidth="1"/>
    <col min="3" max="3" width="16.28515625" style="30" customWidth="1"/>
    <col min="4" max="4" width="14.85546875" style="30" customWidth="1"/>
    <col min="5" max="5" width="18" style="30" customWidth="1"/>
    <col min="6" max="6" width="53.42578125" style="30" customWidth="1"/>
    <col min="7" max="7" width="23.5703125" style="30" customWidth="1"/>
    <col min="8" max="8" width="11.85546875" style="30" customWidth="1"/>
    <col min="9" max="9" width="44.28515625" style="30" customWidth="1"/>
    <col min="10" max="10" width="49.28515625" style="30" customWidth="1"/>
    <col min="11" max="11" width="48.7109375" style="30" customWidth="1"/>
    <col min="12" max="16384" width="9.140625" style="30"/>
  </cols>
  <sheetData>
    <row r="1" spans="1:26" ht="33.75" customHeight="1" x14ac:dyDescent="0.2">
      <c r="A1" s="29"/>
      <c r="B1" s="29"/>
      <c r="C1" s="29"/>
      <c r="D1" s="29"/>
      <c r="E1" s="29"/>
      <c r="F1" s="29"/>
      <c r="G1" s="29"/>
      <c r="H1" s="29"/>
      <c r="I1" s="29"/>
      <c r="J1" s="29"/>
      <c r="K1" s="29"/>
      <c r="L1" s="29"/>
      <c r="M1" s="29"/>
      <c r="N1" s="29"/>
      <c r="O1" s="29"/>
      <c r="P1" s="29"/>
      <c r="Q1" s="29"/>
      <c r="R1" s="29"/>
      <c r="S1" s="29"/>
      <c r="T1" s="29"/>
      <c r="U1" s="29"/>
      <c r="V1" s="29"/>
      <c r="W1" s="29"/>
      <c r="X1" s="29"/>
      <c r="Y1" s="29"/>
      <c r="Z1" s="29"/>
    </row>
    <row r="2" spans="1:26" ht="20.100000000000001" customHeight="1" x14ac:dyDescent="0.2">
      <c r="A2" s="29"/>
      <c r="B2" s="31" t="s">
        <v>27</v>
      </c>
      <c r="C2" s="31" t="s">
        <v>28</v>
      </c>
      <c r="D2" s="31" t="s">
        <v>29</v>
      </c>
      <c r="E2" s="31" t="s">
        <v>30</v>
      </c>
      <c r="F2" s="31" t="s">
        <v>31</v>
      </c>
      <c r="G2" s="31" t="s">
        <v>32</v>
      </c>
      <c r="H2" s="31" t="s">
        <v>308</v>
      </c>
      <c r="I2" s="31" t="s">
        <v>298</v>
      </c>
      <c r="J2" s="31" t="s">
        <v>33</v>
      </c>
      <c r="K2" s="31" t="s">
        <v>34</v>
      </c>
      <c r="L2" s="29"/>
      <c r="M2" s="29"/>
      <c r="N2" s="29"/>
      <c r="O2" s="29"/>
      <c r="P2" s="29"/>
      <c r="Q2" s="29"/>
      <c r="R2" s="29"/>
      <c r="S2" s="29"/>
      <c r="T2" s="29"/>
      <c r="U2" s="29"/>
      <c r="V2" s="29"/>
      <c r="W2" s="29"/>
      <c r="X2" s="29"/>
      <c r="Y2" s="29"/>
      <c r="Z2" s="29"/>
    </row>
    <row r="3" spans="1:26" ht="30" customHeight="1" x14ac:dyDescent="0.2">
      <c r="A3" s="29"/>
      <c r="B3" s="34" t="s">
        <v>35</v>
      </c>
      <c r="C3" s="30" t="s">
        <v>36</v>
      </c>
      <c r="D3" s="30" t="s">
        <v>36</v>
      </c>
      <c r="E3" s="30" t="s">
        <v>37</v>
      </c>
      <c r="F3" s="30" t="s">
        <v>38</v>
      </c>
      <c r="G3" s="30" t="s">
        <v>39</v>
      </c>
      <c r="L3" s="29"/>
      <c r="M3" s="29"/>
      <c r="N3" s="29"/>
      <c r="O3" s="29"/>
      <c r="P3" s="29"/>
      <c r="Q3" s="29"/>
      <c r="R3" s="29"/>
      <c r="S3" s="29"/>
      <c r="T3" s="29"/>
      <c r="U3" s="29"/>
      <c r="V3" s="29"/>
      <c r="W3" s="29"/>
      <c r="X3" s="29"/>
      <c r="Y3" s="29"/>
      <c r="Z3" s="29"/>
    </row>
    <row r="4" spans="1:26" ht="45" x14ac:dyDescent="0.2">
      <c r="A4" s="29"/>
      <c r="B4" s="34" t="s">
        <v>40</v>
      </c>
      <c r="C4" s="30" t="s">
        <v>18</v>
      </c>
      <c r="D4" s="30" t="s">
        <v>18</v>
      </c>
      <c r="E4" s="30" t="s">
        <v>37</v>
      </c>
      <c r="F4" s="30" t="s">
        <v>41</v>
      </c>
      <c r="G4" s="30" t="s">
        <v>39</v>
      </c>
      <c r="H4" s="30" t="s">
        <v>42</v>
      </c>
      <c r="I4" s="30" t="s">
        <v>43</v>
      </c>
      <c r="J4" s="30" t="s">
        <v>261</v>
      </c>
      <c r="K4" s="30" t="s">
        <v>44</v>
      </c>
      <c r="L4" s="29"/>
      <c r="M4" s="29"/>
      <c r="N4" s="29"/>
      <c r="O4" s="29"/>
      <c r="P4" s="29"/>
      <c r="Q4" s="29"/>
      <c r="R4" s="29"/>
      <c r="S4" s="29"/>
      <c r="T4" s="29"/>
      <c r="U4" s="29"/>
      <c r="V4" s="29"/>
      <c r="W4" s="29"/>
      <c r="X4" s="29"/>
      <c r="Y4" s="29"/>
      <c r="Z4" s="29"/>
    </row>
    <row r="5" spans="1:26" ht="30" customHeight="1" x14ac:dyDescent="0.2">
      <c r="A5" s="29"/>
      <c r="B5" s="34" t="s">
        <v>45</v>
      </c>
      <c r="C5" s="30" t="s">
        <v>46</v>
      </c>
      <c r="D5" s="30" t="s">
        <v>46</v>
      </c>
      <c r="E5" s="30" t="s">
        <v>37</v>
      </c>
      <c r="F5" s="30" t="s">
        <v>47</v>
      </c>
      <c r="G5" s="30" t="s">
        <v>39</v>
      </c>
      <c r="I5" s="30" t="s">
        <v>48</v>
      </c>
      <c r="L5" s="29"/>
      <c r="M5" s="29"/>
      <c r="N5" s="29"/>
      <c r="O5" s="29"/>
      <c r="P5" s="29"/>
      <c r="Q5" s="29"/>
      <c r="R5" s="29"/>
      <c r="S5" s="29"/>
      <c r="T5" s="29"/>
      <c r="U5" s="29"/>
      <c r="V5" s="29"/>
      <c r="W5" s="29"/>
      <c r="X5" s="29"/>
      <c r="Y5" s="29"/>
      <c r="Z5" s="29"/>
    </row>
    <row r="6" spans="1:26" ht="45" x14ac:dyDescent="0.2">
      <c r="A6" s="29"/>
      <c r="B6" s="34" t="s">
        <v>49</v>
      </c>
      <c r="C6" s="30" t="s">
        <v>50</v>
      </c>
      <c r="D6" s="30" t="s">
        <v>50</v>
      </c>
      <c r="E6" s="30" t="s">
        <v>51</v>
      </c>
      <c r="F6" s="30" t="s">
        <v>52</v>
      </c>
      <c r="G6" s="30" t="s">
        <v>39</v>
      </c>
      <c r="I6" s="30" t="s">
        <v>302</v>
      </c>
      <c r="J6" s="30" t="s">
        <v>262</v>
      </c>
      <c r="K6" s="30" t="s">
        <v>53</v>
      </c>
      <c r="L6" s="29"/>
      <c r="M6" s="29"/>
      <c r="N6" s="29"/>
      <c r="O6" s="29"/>
      <c r="P6" s="29"/>
      <c r="Q6" s="29"/>
      <c r="R6" s="29"/>
      <c r="S6" s="29"/>
      <c r="T6" s="29"/>
      <c r="U6" s="29"/>
      <c r="V6" s="29"/>
      <c r="W6" s="29"/>
      <c r="X6" s="29"/>
      <c r="Y6" s="29"/>
      <c r="Z6" s="29"/>
    </row>
    <row r="7" spans="1:26" ht="30" x14ac:dyDescent="0.2">
      <c r="A7" s="29"/>
      <c r="B7" s="34" t="s">
        <v>54</v>
      </c>
      <c r="C7" s="30" t="s">
        <v>12</v>
      </c>
      <c r="D7" s="30" t="s">
        <v>12</v>
      </c>
      <c r="E7" s="30" t="s">
        <v>37</v>
      </c>
      <c r="G7" s="30" t="s">
        <v>39</v>
      </c>
      <c r="I7" s="30" t="s">
        <v>55</v>
      </c>
      <c r="J7" s="30" t="s">
        <v>56</v>
      </c>
      <c r="K7" s="30" t="s">
        <v>57</v>
      </c>
      <c r="L7" s="29"/>
      <c r="M7" s="29"/>
      <c r="N7" s="29"/>
      <c r="O7" s="29"/>
      <c r="P7" s="29"/>
      <c r="Q7" s="29"/>
      <c r="R7" s="29"/>
      <c r="S7" s="29"/>
      <c r="T7" s="29"/>
      <c r="U7" s="29"/>
      <c r="V7" s="29"/>
      <c r="W7" s="29"/>
      <c r="X7" s="29"/>
      <c r="Y7" s="29"/>
      <c r="Z7" s="29"/>
    </row>
    <row r="8" spans="1:26" ht="30" customHeight="1" x14ac:dyDescent="0.2">
      <c r="A8" s="29"/>
      <c r="B8" s="34" t="s">
        <v>58</v>
      </c>
      <c r="C8" s="30" t="s">
        <v>59</v>
      </c>
      <c r="D8" s="30" t="s">
        <v>59</v>
      </c>
      <c r="E8" s="30" t="s">
        <v>37</v>
      </c>
      <c r="F8" s="30" t="s">
        <v>60</v>
      </c>
      <c r="G8" s="30" t="s">
        <v>39</v>
      </c>
      <c r="I8" s="30" t="s">
        <v>61</v>
      </c>
      <c r="J8" s="30" t="s">
        <v>62</v>
      </c>
      <c r="L8" s="29"/>
      <c r="M8" s="29"/>
      <c r="N8" s="29"/>
      <c r="O8" s="29"/>
      <c r="P8" s="29"/>
      <c r="Q8" s="29"/>
      <c r="R8" s="29"/>
      <c r="S8" s="29"/>
      <c r="T8" s="29"/>
      <c r="U8" s="29"/>
      <c r="V8" s="29"/>
      <c r="W8" s="29"/>
      <c r="X8" s="29"/>
      <c r="Y8" s="29"/>
      <c r="Z8" s="29"/>
    </row>
    <row r="9" spans="1:26" ht="30" customHeight="1" x14ac:dyDescent="0.2">
      <c r="A9" s="29"/>
      <c r="B9" s="34" t="s">
        <v>63</v>
      </c>
      <c r="C9" s="30" t="s">
        <v>64</v>
      </c>
      <c r="D9" s="30" t="s">
        <v>64</v>
      </c>
      <c r="E9" s="30" t="s">
        <v>37</v>
      </c>
      <c r="F9" s="30" t="s">
        <v>65</v>
      </c>
      <c r="G9" s="30" t="s">
        <v>39</v>
      </c>
      <c r="I9" s="30" t="s">
        <v>66</v>
      </c>
      <c r="J9" s="30" t="s">
        <v>67</v>
      </c>
      <c r="L9" s="29"/>
      <c r="M9" s="29"/>
      <c r="N9" s="29"/>
      <c r="O9" s="29"/>
      <c r="P9" s="29"/>
      <c r="Q9" s="29"/>
      <c r="R9" s="29"/>
      <c r="S9" s="29"/>
      <c r="T9" s="29"/>
      <c r="U9" s="29"/>
      <c r="V9" s="29"/>
      <c r="W9" s="29"/>
      <c r="X9" s="29"/>
      <c r="Y9" s="29"/>
      <c r="Z9" s="29"/>
    </row>
    <row r="10" spans="1:26" ht="30" customHeight="1" x14ac:dyDescent="0.2">
      <c r="A10" s="29"/>
      <c r="B10" s="34" t="s">
        <v>68</v>
      </c>
      <c r="C10" s="30" t="s">
        <v>297</v>
      </c>
      <c r="D10" s="30" t="s">
        <v>69</v>
      </c>
      <c r="E10" s="30" t="s">
        <v>70</v>
      </c>
      <c r="F10" s="30" t="s">
        <v>71</v>
      </c>
      <c r="G10" s="30" t="s">
        <v>39</v>
      </c>
      <c r="I10" s="30" t="s">
        <v>72</v>
      </c>
      <c r="J10" s="30" t="s">
        <v>73</v>
      </c>
      <c r="K10" s="30" t="s">
        <v>72</v>
      </c>
      <c r="L10" s="29"/>
      <c r="M10" s="29"/>
      <c r="N10" s="29"/>
      <c r="O10" s="29"/>
      <c r="P10" s="29"/>
      <c r="Q10" s="29"/>
      <c r="R10" s="29"/>
      <c r="S10" s="29"/>
      <c r="T10" s="29"/>
      <c r="U10" s="29"/>
      <c r="V10" s="29"/>
      <c r="W10" s="29"/>
      <c r="X10" s="29"/>
      <c r="Y10" s="29"/>
      <c r="Z10" s="29"/>
    </row>
    <row r="11" spans="1:26" ht="45" x14ac:dyDescent="0.2">
      <c r="A11" s="29"/>
      <c r="B11" s="34" t="s">
        <v>74</v>
      </c>
      <c r="C11" s="30" t="s">
        <v>75</v>
      </c>
      <c r="D11" s="30" t="s">
        <v>75</v>
      </c>
      <c r="E11" s="30" t="s">
        <v>37</v>
      </c>
      <c r="F11" s="30" t="s">
        <v>76</v>
      </c>
      <c r="G11" s="30" t="s">
        <v>39</v>
      </c>
      <c r="I11" s="30" t="s">
        <v>77</v>
      </c>
      <c r="J11" s="30" t="s">
        <v>304</v>
      </c>
      <c r="K11" s="30" t="s">
        <v>263</v>
      </c>
      <c r="L11" s="29"/>
      <c r="M11" s="29"/>
      <c r="N11" s="29"/>
      <c r="O11" s="29"/>
      <c r="P11" s="29"/>
      <c r="Q11" s="29"/>
      <c r="R11" s="29"/>
      <c r="S11" s="29"/>
      <c r="T11" s="29"/>
      <c r="U11" s="29"/>
      <c r="V11" s="29"/>
      <c r="W11" s="29"/>
      <c r="X11" s="29"/>
      <c r="Y11" s="29"/>
      <c r="Z11" s="29"/>
    </row>
    <row r="12" spans="1:26" ht="30" customHeight="1" x14ac:dyDescent="0.2">
      <c r="A12" s="29"/>
      <c r="B12" s="34" t="s">
        <v>78</v>
      </c>
      <c r="C12" s="30" t="s">
        <v>79</v>
      </c>
      <c r="D12" s="30" t="s">
        <v>79</v>
      </c>
      <c r="E12" s="30" t="s">
        <v>37</v>
      </c>
      <c r="F12" s="30" t="s">
        <v>299</v>
      </c>
      <c r="G12" s="30" t="s">
        <v>39</v>
      </c>
      <c r="I12" s="30" t="s">
        <v>292</v>
      </c>
      <c r="J12" s="30" t="s">
        <v>305</v>
      </c>
      <c r="L12" s="29"/>
      <c r="M12" s="29"/>
      <c r="N12" s="29"/>
      <c r="O12" s="29"/>
      <c r="P12" s="29"/>
      <c r="Q12" s="29"/>
      <c r="R12" s="29"/>
      <c r="S12" s="29"/>
      <c r="T12" s="29"/>
      <c r="U12" s="29"/>
      <c r="V12" s="29"/>
      <c r="W12" s="29"/>
      <c r="X12" s="29"/>
      <c r="Y12" s="29"/>
      <c r="Z12" s="29"/>
    </row>
    <row r="13" spans="1:26" ht="105" x14ac:dyDescent="0.2">
      <c r="A13" s="29"/>
      <c r="B13" s="34" t="s">
        <v>13</v>
      </c>
      <c r="C13" s="30" t="s">
        <v>13</v>
      </c>
      <c r="D13" s="30" t="s">
        <v>13</v>
      </c>
      <c r="E13" s="30" t="s">
        <v>81</v>
      </c>
      <c r="F13" s="30" t="s">
        <v>82</v>
      </c>
      <c r="G13" s="30" t="s">
        <v>274</v>
      </c>
      <c r="H13" s="30" t="s">
        <v>83</v>
      </c>
      <c r="I13" s="30" t="s">
        <v>84</v>
      </c>
      <c r="J13" s="30" t="s">
        <v>306</v>
      </c>
      <c r="K13" s="30" t="s">
        <v>264</v>
      </c>
      <c r="L13" s="29"/>
      <c r="M13" s="29"/>
      <c r="N13" s="29"/>
      <c r="O13" s="29"/>
      <c r="P13" s="29"/>
      <c r="Q13" s="29"/>
      <c r="R13" s="29"/>
      <c r="S13" s="29"/>
      <c r="T13" s="29"/>
      <c r="U13" s="29"/>
      <c r="V13" s="29"/>
      <c r="W13" s="29"/>
      <c r="X13" s="29"/>
      <c r="Y13" s="29"/>
      <c r="Z13" s="29"/>
    </row>
    <row r="14" spans="1:26" ht="75" x14ac:dyDescent="0.2">
      <c r="A14" s="29"/>
      <c r="B14" s="34" t="s">
        <v>85</v>
      </c>
      <c r="C14" s="30" t="s">
        <v>86</v>
      </c>
      <c r="D14" s="30" t="s">
        <v>86</v>
      </c>
      <c r="E14" s="30" t="s">
        <v>37</v>
      </c>
      <c r="F14" s="30" t="s">
        <v>301</v>
      </c>
      <c r="G14" s="30" t="s">
        <v>39</v>
      </c>
      <c r="I14" s="30" t="s">
        <v>265</v>
      </c>
      <c r="J14" s="30" t="s">
        <v>266</v>
      </c>
      <c r="K14" s="30" t="s">
        <v>87</v>
      </c>
      <c r="L14" s="29"/>
      <c r="M14" s="29"/>
      <c r="N14" s="29"/>
      <c r="O14" s="29"/>
      <c r="P14" s="29"/>
      <c r="Q14" s="29"/>
      <c r="R14" s="29"/>
      <c r="S14" s="29"/>
      <c r="T14" s="29"/>
      <c r="U14" s="29"/>
      <c r="V14" s="29"/>
      <c r="W14" s="29"/>
      <c r="X14" s="29"/>
      <c r="Y14" s="29"/>
      <c r="Z14" s="29"/>
    </row>
    <row r="15" spans="1:26" ht="30" customHeight="1" x14ac:dyDescent="0.2">
      <c r="A15" s="29"/>
      <c r="B15" s="34" t="s">
        <v>88</v>
      </c>
      <c r="C15" s="30" t="s">
        <v>89</v>
      </c>
      <c r="D15" s="30" t="s">
        <v>89</v>
      </c>
      <c r="E15" s="30" t="s">
        <v>37</v>
      </c>
      <c r="F15" s="30" t="s">
        <v>90</v>
      </c>
      <c r="G15" s="30" t="s">
        <v>39</v>
      </c>
      <c r="I15" s="30" t="s">
        <v>91</v>
      </c>
      <c r="J15" s="30" t="s">
        <v>92</v>
      </c>
      <c r="K15" s="30" t="s">
        <v>93</v>
      </c>
      <c r="L15" s="29"/>
      <c r="M15" s="29"/>
      <c r="N15" s="29"/>
      <c r="O15" s="29"/>
      <c r="P15" s="29"/>
      <c r="Q15" s="29"/>
      <c r="R15" s="29"/>
      <c r="S15" s="29"/>
      <c r="T15" s="29"/>
      <c r="U15" s="29"/>
      <c r="V15" s="29"/>
      <c r="W15" s="29"/>
      <c r="X15" s="29"/>
      <c r="Y15" s="29"/>
      <c r="Z15" s="29"/>
    </row>
    <row r="16" spans="1:26" ht="75" x14ac:dyDescent="0.2">
      <c r="A16" s="29"/>
      <c r="B16" s="34" t="s">
        <v>94</v>
      </c>
      <c r="C16" s="30" t="s">
        <v>9</v>
      </c>
      <c r="D16" s="30" t="s">
        <v>9</v>
      </c>
      <c r="E16" s="30" t="s">
        <v>37</v>
      </c>
      <c r="F16" s="30" t="s">
        <v>95</v>
      </c>
      <c r="G16" s="30" t="s">
        <v>39</v>
      </c>
      <c r="H16" s="30" t="s">
        <v>42</v>
      </c>
      <c r="I16" s="30" t="s">
        <v>312</v>
      </c>
      <c r="J16" s="30" t="s">
        <v>267</v>
      </c>
      <c r="K16" s="30" t="s">
        <v>96</v>
      </c>
      <c r="L16" s="29"/>
      <c r="M16" s="29"/>
      <c r="N16" s="29"/>
      <c r="O16" s="29"/>
      <c r="P16" s="29"/>
      <c r="Q16" s="29"/>
      <c r="R16" s="29"/>
      <c r="S16" s="29"/>
      <c r="T16" s="29"/>
      <c r="U16" s="29"/>
      <c r="V16" s="29"/>
      <c r="W16" s="29"/>
      <c r="X16" s="29"/>
      <c r="Y16" s="29"/>
      <c r="Z16" s="29"/>
    </row>
    <row r="17" spans="1:26" ht="30" customHeight="1" x14ac:dyDescent="0.2">
      <c r="A17" s="29"/>
      <c r="B17" s="34" t="s">
        <v>97</v>
      </c>
      <c r="C17" s="30" t="s">
        <v>98</v>
      </c>
      <c r="D17" s="30" t="s">
        <v>98</v>
      </c>
      <c r="E17" s="30" t="s">
        <v>72</v>
      </c>
      <c r="F17" s="30" t="s">
        <v>99</v>
      </c>
      <c r="G17" s="30" t="s">
        <v>39</v>
      </c>
      <c r="I17" s="30" t="s">
        <v>100</v>
      </c>
      <c r="J17" s="30" t="s">
        <v>305</v>
      </c>
      <c r="K17" s="30" t="s">
        <v>101</v>
      </c>
      <c r="L17" s="29"/>
      <c r="M17" s="29"/>
      <c r="N17" s="29"/>
      <c r="O17" s="29"/>
      <c r="P17" s="29"/>
      <c r="Q17" s="29"/>
      <c r="R17" s="29"/>
      <c r="S17" s="29"/>
      <c r="T17" s="29"/>
      <c r="U17" s="29"/>
      <c r="V17" s="29"/>
      <c r="W17" s="29"/>
      <c r="X17" s="29"/>
      <c r="Y17" s="29"/>
      <c r="Z17" s="29"/>
    </row>
    <row r="18" spans="1:26" ht="45" x14ac:dyDescent="0.2">
      <c r="A18" s="29"/>
      <c r="B18" s="34" t="s">
        <v>102</v>
      </c>
      <c r="C18" s="30" t="s">
        <v>103</v>
      </c>
      <c r="D18" s="30" t="s">
        <v>103</v>
      </c>
      <c r="E18" s="30" t="s">
        <v>51</v>
      </c>
      <c r="F18" s="30" t="s">
        <v>104</v>
      </c>
      <c r="G18" s="30" t="s">
        <v>39</v>
      </c>
      <c r="I18" s="30" t="s">
        <v>311</v>
      </c>
      <c r="L18" s="29"/>
      <c r="M18" s="29"/>
      <c r="N18" s="29"/>
      <c r="O18" s="29"/>
      <c r="P18" s="29"/>
      <c r="Q18" s="29"/>
      <c r="R18" s="29"/>
      <c r="S18" s="29"/>
      <c r="T18" s="29"/>
      <c r="U18" s="29"/>
      <c r="V18" s="29"/>
      <c r="W18" s="29"/>
      <c r="X18" s="29"/>
      <c r="Y18" s="29"/>
      <c r="Z18" s="29"/>
    </row>
    <row r="19" spans="1:26" ht="150" x14ac:dyDescent="0.2">
      <c r="A19" s="29"/>
      <c r="B19" s="34" t="s">
        <v>268</v>
      </c>
      <c r="C19" s="30" t="s">
        <v>19</v>
      </c>
      <c r="D19" s="30" t="s">
        <v>19</v>
      </c>
      <c r="E19" s="30" t="s">
        <v>37</v>
      </c>
      <c r="F19" s="30" t="s">
        <v>269</v>
      </c>
      <c r="G19" s="30" t="s">
        <v>39</v>
      </c>
      <c r="I19" s="30" t="s">
        <v>303</v>
      </c>
      <c r="J19" s="30" t="s">
        <v>270</v>
      </c>
      <c r="L19" s="29"/>
      <c r="M19" s="29"/>
      <c r="N19" s="29"/>
      <c r="O19" s="29"/>
      <c r="P19" s="29"/>
      <c r="Q19" s="29"/>
      <c r="R19" s="29"/>
      <c r="S19" s="29"/>
      <c r="T19" s="29"/>
      <c r="U19" s="29"/>
      <c r="V19" s="29"/>
      <c r="W19" s="29"/>
      <c r="X19" s="29"/>
      <c r="Y19" s="29"/>
      <c r="Z19" s="29"/>
    </row>
    <row r="20" spans="1:26" ht="45" x14ac:dyDescent="0.2">
      <c r="A20" s="29"/>
      <c r="B20" s="34" t="s">
        <v>106</v>
      </c>
      <c r="C20" s="30" t="s">
        <v>107</v>
      </c>
      <c r="D20" s="30" t="s">
        <v>107</v>
      </c>
      <c r="E20" s="30" t="s">
        <v>37</v>
      </c>
      <c r="F20" s="30" t="s">
        <v>271</v>
      </c>
      <c r="G20" s="30" t="s">
        <v>39</v>
      </c>
      <c r="H20" s="30" t="s">
        <v>83</v>
      </c>
      <c r="I20" s="30" t="s">
        <v>108</v>
      </c>
      <c r="J20" s="30" t="s">
        <v>272</v>
      </c>
      <c r="K20" s="30" t="s">
        <v>109</v>
      </c>
      <c r="L20" s="29"/>
      <c r="M20" s="29"/>
      <c r="N20" s="29"/>
      <c r="O20" s="29"/>
      <c r="P20" s="29"/>
      <c r="Q20" s="29"/>
      <c r="R20" s="29"/>
      <c r="S20" s="29"/>
      <c r="T20" s="29"/>
      <c r="U20" s="29"/>
      <c r="V20" s="29"/>
      <c r="W20" s="29"/>
      <c r="X20" s="29"/>
      <c r="Y20" s="29"/>
      <c r="Z20" s="29"/>
    </row>
    <row r="21" spans="1:26" ht="60" x14ac:dyDescent="0.2">
      <c r="A21" s="29"/>
      <c r="B21" s="34" t="s">
        <v>110</v>
      </c>
      <c r="C21" s="30" t="s">
        <v>111</v>
      </c>
      <c r="D21" s="30" t="s">
        <v>296</v>
      </c>
      <c r="E21" s="30" t="s">
        <v>112</v>
      </c>
      <c r="F21" s="30" t="s">
        <v>291</v>
      </c>
      <c r="G21" s="30" t="s">
        <v>39</v>
      </c>
      <c r="I21" s="30" t="s">
        <v>112</v>
      </c>
      <c r="J21" s="30" t="s">
        <v>113</v>
      </c>
      <c r="L21" s="29"/>
      <c r="M21" s="29"/>
      <c r="N21" s="29"/>
      <c r="O21" s="29"/>
      <c r="P21" s="29"/>
      <c r="Q21" s="29"/>
      <c r="R21" s="29"/>
      <c r="S21" s="29"/>
      <c r="T21" s="29"/>
      <c r="U21" s="29"/>
      <c r="V21" s="29"/>
      <c r="W21" s="29"/>
      <c r="X21" s="29"/>
      <c r="Y21" s="29"/>
      <c r="Z21" s="29"/>
    </row>
    <row r="22" spans="1:26" ht="30" customHeight="1" x14ac:dyDescent="0.2">
      <c r="A22" s="29"/>
      <c r="B22" s="34" t="s">
        <v>114</v>
      </c>
      <c r="C22" s="30" t="s">
        <v>115</v>
      </c>
      <c r="D22" s="30" t="s">
        <v>116</v>
      </c>
      <c r="E22" s="30" t="s">
        <v>37</v>
      </c>
      <c r="F22" s="30" t="s">
        <v>117</v>
      </c>
      <c r="G22" s="30" t="s">
        <v>39</v>
      </c>
      <c r="I22" s="30" t="s">
        <v>118</v>
      </c>
      <c r="J22" s="30" t="s">
        <v>119</v>
      </c>
      <c r="K22" s="30" t="s">
        <v>120</v>
      </c>
      <c r="L22" s="29"/>
      <c r="M22" s="29"/>
      <c r="N22" s="29"/>
      <c r="O22" s="29"/>
      <c r="P22" s="29"/>
      <c r="Q22" s="29"/>
      <c r="R22" s="29"/>
      <c r="S22" s="29"/>
      <c r="T22" s="29"/>
      <c r="U22" s="29"/>
      <c r="V22" s="29"/>
      <c r="W22" s="29"/>
      <c r="X22" s="29"/>
      <c r="Y22" s="29"/>
      <c r="Z22" s="29"/>
    </row>
    <row r="23" spans="1:26" ht="45" x14ac:dyDescent="0.2">
      <c r="A23" s="29"/>
      <c r="B23" s="34" t="s">
        <v>114</v>
      </c>
      <c r="E23" s="30" t="s">
        <v>37</v>
      </c>
      <c r="F23" s="30" t="s">
        <v>121</v>
      </c>
      <c r="G23" s="30" t="s">
        <v>39</v>
      </c>
      <c r="I23" s="30" t="s">
        <v>122</v>
      </c>
      <c r="J23" s="30" t="s">
        <v>275</v>
      </c>
      <c r="K23" s="30" t="s">
        <v>273</v>
      </c>
      <c r="L23" s="29"/>
      <c r="M23" s="29"/>
      <c r="N23" s="29"/>
      <c r="O23" s="29"/>
      <c r="P23" s="29"/>
      <c r="Q23" s="29"/>
      <c r="R23" s="29"/>
      <c r="S23" s="29"/>
      <c r="T23" s="29"/>
      <c r="U23" s="29"/>
      <c r="V23" s="29"/>
      <c r="W23" s="29"/>
      <c r="X23" s="29"/>
      <c r="Y23" s="29"/>
      <c r="Z23" s="29"/>
    </row>
    <row r="24" spans="1:26" ht="30" customHeight="1" x14ac:dyDescent="0.2">
      <c r="A24" s="29"/>
      <c r="B24" s="34" t="s">
        <v>123</v>
      </c>
      <c r="C24" s="30" t="s">
        <v>124</v>
      </c>
      <c r="D24" s="30" t="s">
        <v>124</v>
      </c>
      <c r="E24" s="30" t="s">
        <v>125</v>
      </c>
      <c r="F24" s="30" t="s">
        <v>126</v>
      </c>
      <c r="G24" s="30" t="s">
        <v>39</v>
      </c>
      <c r="I24" s="30" t="s">
        <v>127</v>
      </c>
      <c r="J24" s="30" t="s">
        <v>128</v>
      </c>
      <c r="L24" s="29"/>
      <c r="M24" s="29"/>
      <c r="N24" s="29"/>
      <c r="O24" s="29"/>
      <c r="P24" s="29"/>
      <c r="Q24" s="29"/>
      <c r="R24" s="29"/>
      <c r="S24" s="29"/>
      <c r="T24" s="29"/>
      <c r="U24" s="29"/>
      <c r="V24" s="29"/>
      <c r="W24" s="29"/>
      <c r="X24" s="29"/>
      <c r="Y24" s="29"/>
      <c r="Z24" s="29"/>
    </row>
    <row r="25" spans="1:26" ht="30" customHeight="1" x14ac:dyDescent="0.2">
      <c r="A25" s="29"/>
      <c r="B25" s="34" t="s">
        <v>131</v>
      </c>
      <c r="C25" s="30" t="s">
        <v>7</v>
      </c>
      <c r="D25" s="30" t="s">
        <v>7</v>
      </c>
      <c r="E25" s="30" t="s">
        <v>37</v>
      </c>
      <c r="F25" s="30" t="s">
        <v>132</v>
      </c>
      <c r="G25" s="30" t="s">
        <v>39</v>
      </c>
      <c r="I25" s="30" t="s">
        <v>133</v>
      </c>
      <c r="J25" s="30" t="s">
        <v>134</v>
      </c>
      <c r="L25" s="29"/>
      <c r="M25" s="29"/>
      <c r="N25" s="29"/>
      <c r="O25" s="29"/>
      <c r="P25" s="29"/>
      <c r="Q25" s="29"/>
      <c r="R25" s="29"/>
      <c r="S25" s="29"/>
      <c r="T25" s="29"/>
      <c r="U25" s="29"/>
      <c r="V25" s="29"/>
      <c r="W25" s="29"/>
      <c r="X25" s="29"/>
      <c r="Y25" s="29"/>
      <c r="Z25" s="29"/>
    </row>
    <row r="26" spans="1:26" ht="30" customHeight="1" x14ac:dyDescent="0.2">
      <c r="A26" s="29"/>
      <c r="B26" s="34" t="s">
        <v>135</v>
      </c>
      <c r="C26" s="30" t="s">
        <v>22</v>
      </c>
      <c r="D26" s="30" t="s">
        <v>22</v>
      </c>
      <c r="E26" s="30" t="s">
        <v>37</v>
      </c>
      <c r="F26" s="30" t="s">
        <v>136</v>
      </c>
      <c r="G26" s="30" t="s">
        <v>39</v>
      </c>
      <c r="H26" s="30" t="s">
        <v>42</v>
      </c>
      <c r="I26" s="30" t="s">
        <v>137</v>
      </c>
      <c r="J26" s="30" t="s">
        <v>307</v>
      </c>
      <c r="K26" s="30" t="s">
        <v>96</v>
      </c>
      <c r="L26" s="29"/>
      <c r="M26" s="29"/>
      <c r="N26" s="29"/>
      <c r="O26" s="29"/>
      <c r="P26" s="29"/>
      <c r="Q26" s="29"/>
      <c r="R26" s="29"/>
      <c r="S26" s="29"/>
      <c r="T26" s="29"/>
      <c r="U26" s="29"/>
      <c r="V26" s="29"/>
      <c r="W26" s="29"/>
      <c r="X26" s="29"/>
      <c r="Y26" s="29"/>
      <c r="Z26" s="29"/>
    </row>
    <row r="27" spans="1:26" ht="45" x14ac:dyDescent="0.2">
      <c r="A27" s="29"/>
      <c r="B27" s="34" t="s">
        <v>135</v>
      </c>
      <c r="C27" s="30" t="s">
        <v>22</v>
      </c>
      <c r="D27" s="30" t="s">
        <v>22</v>
      </c>
      <c r="E27" s="30" t="s">
        <v>37</v>
      </c>
      <c r="F27" s="30" t="s">
        <v>138</v>
      </c>
      <c r="G27" s="30" t="s">
        <v>39</v>
      </c>
      <c r="H27" s="30" t="s">
        <v>42</v>
      </c>
      <c r="I27" s="30" t="s">
        <v>139</v>
      </c>
      <c r="J27" s="30" t="s">
        <v>278</v>
      </c>
      <c r="K27" s="30" t="s">
        <v>140</v>
      </c>
      <c r="L27" s="29"/>
      <c r="M27" s="29"/>
      <c r="N27" s="29"/>
      <c r="O27" s="29"/>
      <c r="P27" s="29"/>
      <c r="Q27" s="29"/>
      <c r="R27" s="29"/>
      <c r="S27" s="29"/>
      <c r="T27" s="29"/>
      <c r="U27" s="29"/>
      <c r="V27" s="29"/>
      <c r="W27" s="29"/>
      <c r="X27" s="29"/>
      <c r="Y27" s="29"/>
      <c r="Z27" s="29"/>
    </row>
    <row r="28" spans="1:26" ht="30" x14ac:dyDescent="0.2">
      <c r="A28" s="29"/>
      <c r="B28" s="34" t="s">
        <v>141</v>
      </c>
      <c r="C28" s="30" t="s">
        <v>15</v>
      </c>
      <c r="D28" s="30" t="s">
        <v>15</v>
      </c>
      <c r="E28" s="30" t="s">
        <v>37</v>
      </c>
      <c r="F28" s="30" t="s">
        <v>142</v>
      </c>
      <c r="G28" s="30" t="s">
        <v>39</v>
      </c>
      <c r="I28" s="30" t="s">
        <v>118</v>
      </c>
      <c r="J28" s="30" t="s">
        <v>143</v>
      </c>
      <c r="K28" s="30" t="s">
        <v>144</v>
      </c>
      <c r="L28" s="29"/>
      <c r="M28" s="29"/>
      <c r="N28" s="29"/>
      <c r="O28" s="29"/>
      <c r="P28" s="29"/>
      <c r="Q28" s="29"/>
      <c r="R28" s="29"/>
      <c r="S28" s="29"/>
      <c r="T28" s="29"/>
      <c r="U28" s="29"/>
      <c r="V28" s="29"/>
      <c r="W28" s="29"/>
      <c r="X28" s="29"/>
      <c r="Y28" s="29"/>
      <c r="Z28" s="29"/>
    </row>
    <row r="29" spans="1:26" ht="30" x14ac:dyDescent="0.2">
      <c r="A29" s="29"/>
      <c r="B29" s="34" t="s">
        <v>141</v>
      </c>
      <c r="C29" s="30" t="s">
        <v>15</v>
      </c>
      <c r="D29" s="30" t="s">
        <v>15</v>
      </c>
      <c r="E29" s="30" t="s">
        <v>37</v>
      </c>
      <c r="F29" s="30" t="s">
        <v>145</v>
      </c>
      <c r="I29" s="30" t="s">
        <v>146</v>
      </c>
      <c r="K29" s="30" t="s">
        <v>144</v>
      </c>
      <c r="L29" s="29"/>
      <c r="M29" s="29"/>
      <c r="N29" s="29"/>
      <c r="O29" s="29"/>
      <c r="P29" s="29"/>
      <c r="Q29" s="29"/>
      <c r="R29" s="29"/>
      <c r="S29" s="29"/>
      <c r="T29" s="29"/>
      <c r="U29" s="29"/>
      <c r="V29" s="29"/>
      <c r="W29" s="29"/>
      <c r="X29" s="29"/>
      <c r="Y29" s="29"/>
      <c r="Z29" s="29"/>
    </row>
    <row r="30" spans="1:26" ht="45" x14ac:dyDescent="0.2">
      <c r="A30" s="29"/>
      <c r="B30" s="34" t="s">
        <v>141</v>
      </c>
      <c r="C30" s="30" t="s">
        <v>15</v>
      </c>
      <c r="D30" s="30" t="s">
        <v>15</v>
      </c>
      <c r="E30" s="30" t="s">
        <v>37</v>
      </c>
      <c r="F30" s="30" t="s">
        <v>147</v>
      </c>
      <c r="I30" s="30" t="s">
        <v>148</v>
      </c>
      <c r="J30" s="30" t="s">
        <v>279</v>
      </c>
      <c r="K30" s="30" t="s">
        <v>149</v>
      </c>
      <c r="L30" s="29"/>
      <c r="M30" s="29"/>
      <c r="N30" s="29"/>
      <c r="O30" s="29"/>
      <c r="P30" s="29"/>
      <c r="Q30" s="29"/>
      <c r="R30" s="29"/>
      <c r="S30" s="29"/>
      <c r="T30" s="29"/>
      <c r="U30" s="29"/>
      <c r="V30" s="29"/>
      <c r="W30" s="29"/>
      <c r="X30" s="29"/>
      <c r="Y30" s="29"/>
      <c r="Z30" s="29"/>
    </row>
    <row r="31" spans="1:26" ht="30" x14ac:dyDescent="0.2">
      <c r="A31" s="29"/>
      <c r="B31" s="34" t="s">
        <v>141</v>
      </c>
      <c r="C31" s="30" t="s">
        <v>15</v>
      </c>
      <c r="D31" s="30" t="s">
        <v>15</v>
      </c>
      <c r="E31" s="30" t="s">
        <v>37</v>
      </c>
      <c r="F31" s="30" t="s">
        <v>150</v>
      </c>
      <c r="I31" s="30" t="s">
        <v>151</v>
      </c>
      <c r="J31" s="30" t="s">
        <v>152</v>
      </c>
      <c r="K31" s="30" t="s">
        <v>144</v>
      </c>
      <c r="L31" s="29"/>
      <c r="M31" s="29"/>
      <c r="N31" s="29"/>
      <c r="O31" s="29"/>
      <c r="P31" s="29"/>
      <c r="Q31" s="29"/>
      <c r="R31" s="29"/>
      <c r="S31" s="29"/>
      <c r="T31" s="29"/>
      <c r="U31" s="29"/>
      <c r="V31" s="29"/>
      <c r="W31" s="29"/>
      <c r="X31" s="29"/>
      <c r="Y31" s="29"/>
      <c r="Z31" s="29"/>
    </row>
    <row r="32" spans="1:26" ht="105" x14ac:dyDescent="0.2">
      <c r="A32" s="29"/>
      <c r="B32" s="34" t="s">
        <v>153</v>
      </c>
      <c r="C32" s="30" t="s">
        <v>154</v>
      </c>
      <c r="D32" s="30" t="s">
        <v>154</v>
      </c>
      <c r="E32" s="30" t="s">
        <v>37</v>
      </c>
      <c r="F32" s="30" t="s">
        <v>155</v>
      </c>
      <c r="G32" s="30" t="s">
        <v>39</v>
      </c>
      <c r="I32" s="30" t="s">
        <v>156</v>
      </c>
      <c r="J32" s="30" t="s">
        <v>277</v>
      </c>
      <c r="K32" s="30" t="s">
        <v>157</v>
      </c>
      <c r="L32" s="29"/>
      <c r="M32" s="29"/>
      <c r="N32" s="29"/>
      <c r="O32" s="29"/>
      <c r="P32" s="29"/>
      <c r="Q32" s="29"/>
      <c r="R32" s="29"/>
      <c r="S32" s="29"/>
      <c r="T32" s="29"/>
      <c r="U32" s="29"/>
      <c r="V32" s="29"/>
      <c r="W32" s="29"/>
      <c r="X32" s="29"/>
      <c r="Y32" s="29"/>
      <c r="Z32" s="29"/>
    </row>
    <row r="33" spans="1:26" ht="30" x14ac:dyDescent="0.2">
      <c r="A33" s="29"/>
      <c r="B33" s="34" t="s">
        <v>158</v>
      </c>
      <c r="C33" s="30" t="s">
        <v>159</v>
      </c>
      <c r="D33" s="30" t="s">
        <v>159</v>
      </c>
      <c r="E33" s="30" t="s">
        <v>37</v>
      </c>
      <c r="F33" s="30" t="s">
        <v>160</v>
      </c>
      <c r="G33" s="30" t="s">
        <v>39</v>
      </c>
      <c r="I33" s="30" t="s">
        <v>91</v>
      </c>
      <c r="J33" s="30" t="s">
        <v>92</v>
      </c>
      <c r="K33" s="30" t="s">
        <v>93</v>
      </c>
      <c r="L33" s="29"/>
      <c r="M33" s="29"/>
      <c r="N33" s="29"/>
      <c r="O33" s="29"/>
      <c r="P33" s="29"/>
      <c r="Q33" s="29"/>
      <c r="R33" s="29"/>
      <c r="S33" s="29"/>
      <c r="T33" s="29"/>
      <c r="U33" s="29"/>
      <c r="V33" s="29"/>
      <c r="W33" s="29"/>
      <c r="X33" s="29"/>
      <c r="Y33" s="29"/>
      <c r="Z33" s="29"/>
    </row>
    <row r="34" spans="1:26" ht="30" customHeight="1" x14ac:dyDescent="0.2">
      <c r="A34" s="29"/>
      <c r="B34" s="34" t="s">
        <v>161</v>
      </c>
      <c r="C34" s="30" t="s">
        <v>162</v>
      </c>
      <c r="D34" s="30" t="s">
        <v>162</v>
      </c>
      <c r="E34" s="30" t="s">
        <v>37</v>
      </c>
      <c r="F34" s="30" t="s">
        <v>163</v>
      </c>
      <c r="G34" s="30" t="s">
        <v>39</v>
      </c>
      <c r="I34" s="30" t="s">
        <v>164</v>
      </c>
      <c r="J34" s="30" t="s">
        <v>304</v>
      </c>
      <c r="K34" s="30" t="s">
        <v>165</v>
      </c>
      <c r="L34" s="29"/>
      <c r="M34" s="29"/>
      <c r="N34" s="29"/>
      <c r="O34" s="29"/>
      <c r="P34" s="29"/>
      <c r="Q34" s="29"/>
      <c r="R34" s="29"/>
      <c r="S34" s="29"/>
      <c r="T34" s="29"/>
      <c r="U34" s="29"/>
      <c r="V34" s="29"/>
      <c r="W34" s="29"/>
      <c r="X34" s="29"/>
      <c r="Y34" s="29"/>
      <c r="Z34" s="29"/>
    </row>
    <row r="35" spans="1:26" ht="45" x14ac:dyDescent="0.2">
      <c r="A35" s="29"/>
      <c r="B35" s="34" t="s">
        <v>166</v>
      </c>
      <c r="C35" s="30" t="s">
        <v>167</v>
      </c>
      <c r="D35" s="30" t="s">
        <v>167</v>
      </c>
      <c r="E35" s="30" t="s">
        <v>37</v>
      </c>
      <c r="F35" s="30" t="s">
        <v>168</v>
      </c>
      <c r="G35" s="30" t="s">
        <v>39</v>
      </c>
      <c r="I35" s="30" t="s">
        <v>169</v>
      </c>
      <c r="J35" s="30" t="s">
        <v>280</v>
      </c>
      <c r="K35" s="30" t="s">
        <v>170</v>
      </c>
      <c r="L35" s="29"/>
      <c r="M35" s="29"/>
      <c r="N35" s="29"/>
      <c r="O35" s="29"/>
      <c r="P35" s="29"/>
      <c r="Q35" s="29"/>
      <c r="R35" s="29"/>
      <c r="S35" s="29"/>
      <c r="T35" s="29"/>
      <c r="U35" s="29"/>
      <c r="V35" s="29"/>
      <c r="W35" s="29"/>
      <c r="X35" s="29"/>
      <c r="Y35" s="29"/>
      <c r="Z35" s="29"/>
    </row>
    <row r="36" spans="1:26" ht="90" x14ac:dyDescent="0.2">
      <c r="A36" s="29"/>
      <c r="B36" s="34" t="s">
        <v>171</v>
      </c>
      <c r="C36" s="30" t="s">
        <v>21</v>
      </c>
      <c r="D36" s="30" t="s">
        <v>21</v>
      </c>
      <c r="E36" s="30" t="s">
        <v>172</v>
      </c>
      <c r="F36" s="30" t="s">
        <v>281</v>
      </c>
      <c r="G36" s="30" t="s">
        <v>39</v>
      </c>
      <c r="H36" s="30" t="s">
        <v>42</v>
      </c>
      <c r="I36" s="30" t="s">
        <v>173</v>
      </c>
      <c r="J36" s="30" t="s">
        <v>174</v>
      </c>
      <c r="K36" s="30" t="s">
        <v>282</v>
      </c>
      <c r="L36" s="29"/>
      <c r="M36" s="29"/>
      <c r="N36" s="29"/>
      <c r="O36" s="29"/>
      <c r="P36" s="29"/>
      <c r="Q36" s="29"/>
      <c r="R36" s="29"/>
      <c r="S36" s="29"/>
      <c r="T36" s="29"/>
      <c r="U36" s="29"/>
      <c r="V36" s="29"/>
      <c r="W36" s="29"/>
      <c r="X36" s="29"/>
      <c r="Y36" s="29"/>
      <c r="Z36" s="29"/>
    </row>
    <row r="37" spans="1:26" ht="30" x14ac:dyDescent="0.2">
      <c r="A37" s="29"/>
      <c r="B37" s="34" t="s">
        <v>129</v>
      </c>
      <c r="C37" s="30" t="s">
        <v>130</v>
      </c>
      <c r="D37" s="30" t="s">
        <v>130</v>
      </c>
      <c r="E37" s="30" t="s">
        <v>37</v>
      </c>
      <c r="F37" s="30" t="s">
        <v>105</v>
      </c>
      <c r="G37" s="30" t="s">
        <v>39</v>
      </c>
      <c r="I37" s="30" t="s">
        <v>276</v>
      </c>
      <c r="J37" s="30" t="s">
        <v>290</v>
      </c>
      <c r="L37" s="29"/>
      <c r="M37" s="29"/>
      <c r="N37" s="29"/>
      <c r="O37" s="29"/>
      <c r="P37" s="29"/>
      <c r="Q37" s="29"/>
      <c r="R37" s="29"/>
      <c r="S37" s="29"/>
      <c r="T37" s="29"/>
      <c r="U37" s="29"/>
      <c r="V37" s="29"/>
      <c r="W37" s="29"/>
      <c r="X37" s="29"/>
      <c r="Y37" s="29"/>
      <c r="Z37" s="29"/>
    </row>
    <row r="38" spans="1:26" ht="30" x14ac:dyDescent="0.2">
      <c r="A38" s="29"/>
      <c r="B38" s="34" t="s">
        <v>175</v>
      </c>
      <c r="C38" s="30" t="s">
        <v>20</v>
      </c>
      <c r="D38" s="30" t="s">
        <v>20</v>
      </c>
      <c r="E38" s="30" t="s">
        <v>37</v>
      </c>
      <c r="F38" s="30" t="s">
        <v>176</v>
      </c>
      <c r="G38" s="30" t="s">
        <v>39</v>
      </c>
      <c r="H38" s="30" t="s">
        <v>83</v>
      </c>
      <c r="I38" s="30" t="s">
        <v>177</v>
      </c>
      <c r="J38" s="30" t="s">
        <v>178</v>
      </c>
      <c r="K38" s="30" t="s">
        <v>179</v>
      </c>
      <c r="L38" s="29"/>
      <c r="M38" s="29"/>
      <c r="N38" s="29"/>
      <c r="O38" s="29"/>
      <c r="P38" s="29"/>
      <c r="Q38" s="29"/>
      <c r="R38" s="29"/>
      <c r="S38" s="29"/>
      <c r="T38" s="29"/>
      <c r="U38" s="29"/>
      <c r="V38" s="29"/>
      <c r="W38" s="29"/>
      <c r="X38" s="29"/>
      <c r="Y38" s="29"/>
      <c r="Z38" s="29"/>
    </row>
    <row r="39" spans="1:26" ht="120" x14ac:dyDescent="0.2">
      <c r="A39" s="29"/>
      <c r="B39" s="34" t="s">
        <v>180</v>
      </c>
      <c r="C39" s="30" t="s">
        <v>10</v>
      </c>
      <c r="D39" s="30" t="s">
        <v>10</v>
      </c>
      <c r="E39" s="30" t="s">
        <v>37</v>
      </c>
      <c r="F39" s="30" t="s">
        <v>283</v>
      </c>
      <c r="G39" s="30" t="s">
        <v>294</v>
      </c>
      <c r="H39" s="30" t="s">
        <v>83</v>
      </c>
      <c r="I39" s="30" t="s">
        <v>156</v>
      </c>
      <c r="J39" s="30" t="s">
        <v>496</v>
      </c>
      <c r="K39" s="30" t="s">
        <v>181</v>
      </c>
      <c r="L39" s="29"/>
      <c r="M39" s="29"/>
      <c r="N39" s="29"/>
      <c r="O39" s="29"/>
      <c r="P39" s="29"/>
      <c r="Q39" s="29"/>
      <c r="R39" s="29"/>
      <c r="S39" s="29"/>
      <c r="T39" s="29"/>
      <c r="U39" s="29"/>
      <c r="V39" s="29"/>
      <c r="W39" s="29"/>
      <c r="X39" s="29"/>
      <c r="Y39" s="29"/>
      <c r="Z39" s="29"/>
    </row>
    <row r="40" spans="1:26" ht="45" x14ac:dyDescent="0.2">
      <c r="A40" s="29"/>
      <c r="B40" s="34" t="s">
        <v>180</v>
      </c>
      <c r="C40" s="30" t="s">
        <v>10</v>
      </c>
      <c r="D40" s="30" t="s">
        <v>10</v>
      </c>
      <c r="E40" s="30" t="s">
        <v>37</v>
      </c>
      <c r="F40" s="30" t="s">
        <v>293</v>
      </c>
      <c r="G40" s="30" t="s">
        <v>294</v>
      </c>
      <c r="I40" s="30" t="s">
        <v>418</v>
      </c>
      <c r="J40" s="30" t="s">
        <v>182</v>
      </c>
      <c r="K40" s="30" t="s">
        <v>183</v>
      </c>
      <c r="L40" s="29"/>
      <c r="M40" s="29"/>
      <c r="N40" s="29"/>
      <c r="O40" s="29"/>
      <c r="P40" s="29"/>
      <c r="Q40" s="29"/>
      <c r="R40" s="29"/>
      <c r="S40" s="29"/>
      <c r="T40" s="29"/>
      <c r="U40" s="29"/>
      <c r="V40" s="29"/>
      <c r="W40" s="29"/>
      <c r="X40" s="29"/>
      <c r="Y40" s="29"/>
      <c r="Z40" s="29"/>
    </row>
    <row r="41" spans="1:26" ht="30" x14ac:dyDescent="0.2">
      <c r="A41" s="29"/>
      <c r="B41" s="34" t="s">
        <v>8</v>
      </c>
      <c r="C41" s="30" t="s">
        <v>8</v>
      </c>
      <c r="D41" s="30" t="s">
        <v>8</v>
      </c>
      <c r="E41" s="30" t="s">
        <v>172</v>
      </c>
      <c r="G41" s="30" t="s">
        <v>184</v>
      </c>
      <c r="J41" s="30" t="s">
        <v>185</v>
      </c>
      <c r="L41" s="29"/>
      <c r="M41" s="29"/>
      <c r="N41" s="29"/>
      <c r="O41" s="29"/>
      <c r="P41" s="29"/>
      <c r="Q41" s="29"/>
      <c r="R41" s="29"/>
      <c r="S41" s="29"/>
      <c r="T41" s="29"/>
      <c r="U41" s="29"/>
      <c r="V41" s="29"/>
      <c r="W41" s="29"/>
      <c r="X41" s="29"/>
      <c r="Y41" s="29"/>
      <c r="Z41" s="29"/>
    </row>
    <row r="42" spans="1:26" ht="45" x14ac:dyDescent="0.2">
      <c r="A42" s="29"/>
      <c r="B42" s="34" t="s">
        <v>186</v>
      </c>
      <c r="C42" s="30" t="s">
        <v>187</v>
      </c>
      <c r="D42" s="30" t="s">
        <v>187</v>
      </c>
      <c r="E42" s="30" t="s">
        <v>81</v>
      </c>
      <c r="F42" s="30" t="s">
        <v>284</v>
      </c>
      <c r="G42" s="30" t="s">
        <v>187</v>
      </c>
      <c r="I42" s="30" t="s">
        <v>187</v>
      </c>
      <c r="J42" s="30" t="s">
        <v>187</v>
      </c>
      <c r="K42" s="30" t="s">
        <v>188</v>
      </c>
      <c r="L42" s="29"/>
      <c r="M42" s="29"/>
      <c r="N42" s="29"/>
      <c r="O42" s="29"/>
      <c r="P42" s="29"/>
      <c r="Q42" s="29"/>
      <c r="R42" s="29"/>
      <c r="S42" s="29"/>
      <c r="T42" s="29"/>
      <c r="U42" s="29"/>
      <c r="V42" s="29"/>
      <c r="W42" s="29"/>
      <c r="X42" s="29"/>
      <c r="Y42" s="29"/>
      <c r="Z42" s="29"/>
    </row>
    <row r="43" spans="1:26" ht="75" x14ac:dyDescent="0.2">
      <c r="A43" s="29"/>
      <c r="B43" s="34" t="s">
        <v>189</v>
      </c>
      <c r="C43" s="30" t="s">
        <v>189</v>
      </c>
      <c r="D43" s="30" t="s">
        <v>189</v>
      </c>
      <c r="E43" s="30" t="s">
        <v>37</v>
      </c>
      <c r="F43" s="30" t="s">
        <v>190</v>
      </c>
      <c r="G43" s="30" t="s">
        <v>39</v>
      </c>
      <c r="I43" s="30" t="s">
        <v>191</v>
      </c>
      <c r="J43" s="30" t="s">
        <v>285</v>
      </c>
      <c r="K43" s="30" t="s">
        <v>109</v>
      </c>
      <c r="L43" s="29"/>
      <c r="M43" s="29"/>
      <c r="N43" s="29"/>
      <c r="O43" s="29"/>
      <c r="P43" s="29"/>
      <c r="Q43" s="29"/>
      <c r="R43" s="29"/>
      <c r="S43" s="29"/>
      <c r="T43" s="29"/>
      <c r="U43" s="29"/>
      <c r="V43" s="29"/>
      <c r="W43" s="29"/>
      <c r="X43" s="29"/>
      <c r="Y43" s="29"/>
      <c r="Z43" s="29"/>
    </row>
    <row r="44" spans="1:26" ht="75" x14ac:dyDescent="0.2">
      <c r="A44" s="29"/>
      <c r="B44" s="34" t="s">
        <v>192</v>
      </c>
      <c r="C44" s="30" t="s">
        <v>193</v>
      </c>
      <c r="D44" s="30" t="s">
        <v>193</v>
      </c>
      <c r="E44" s="30" t="s">
        <v>37</v>
      </c>
      <c r="G44" s="30" t="s">
        <v>39</v>
      </c>
      <c r="I44" s="30" t="s">
        <v>194</v>
      </c>
      <c r="J44" s="30" t="s">
        <v>195</v>
      </c>
      <c r="K44" s="30" t="s">
        <v>96</v>
      </c>
      <c r="L44" s="29"/>
      <c r="M44" s="29"/>
      <c r="N44" s="29"/>
      <c r="O44" s="29"/>
      <c r="P44" s="29"/>
      <c r="Q44" s="29"/>
      <c r="R44" s="29"/>
      <c r="S44" s="29"/>
      <c r="T44" s="29"/>
      <c r="U44" s="29"/>
      <c r="V44" s="29"/>
      <c r="W44" s="29"/>
      <c r="X44" s="29"/>
      <c r="Y44" s="29"/>
      <c r="Z44" s="29"/>
    </row>
    <row r="45" spans="1:26" ht="30" customHeight="1" x14ac:dyDescent="0.2">
      <c r="A45" s="29"/>
      <c r="B45" s="34" t="s">
        <v>196</v>
      </c>
      <c r="C45" s="30" t="s">
        <v>197</v>
      </c>
      <c r="D45" s="30" t="s">
        <v>197</v>
      </c>
      <c r="E45" s="30" t="s">
        <v>72</v>
      </c>
      <c r="F45" s="30" t="s">
        <v>198</v>
      </c>
      <c r="G45" s="30" t="s">
        <v>39</v>
      </c>
      <c r="I45" s="30" t="s">
        <v>199</v>
      </c>
      <c r="J45" s="30" t="s">
        <v>305</v>
      </c>
      <c r="L45" s="29"/>
      <c r="M45" s="29"/>
      <c r="N45" s="29"/>
      <c r="O45" s="29"/>
      <c r="P45" s="29"/>
      <c r="Q45" s="29"/>
      <c r="R45" s="29"/>
      <c r="S45" s="29"/>
      <c r="T45" s="29"/>
      <c r="U45" s="29"/>
      <c r="V45" s="29"/>
      <c r="W45" s="29"/>
      <c r="X45" s="29"/>
      <c r="Y45" s="29"/>
      <c r="Z45" s="29"/>
    </row>
    <row r="46" spans="1:26" ht="30" x14ac:dyDescent="0.2">
      <c r="A46" s="29"/>
      <c r="B46" s="34" t="s">
        <v>200</v>
      </c>
      <c r="C46" s="30" t="s">
        <v>14</v>
      </c>
      <c r="D46" s="30" t="s">
        <v>14</v>
      </c>
      <c r="E46" s="30" t="s">
        <v>37</v>
      </c>
      <c r="F46" s="30" t="s">
        <v>142</v>
      </c>
      <c r="G46" s="30" t="s">
        <v>294</v>
      </c>
      <c r="I46" s="30" t="s">
        <v>201</v>
      </c>
      <c r="J46" s="30" t="s">
        <v>202</v>
      </c>
      <c r="K46" s="30" t="s">
        <v>203</v>
      </c>
      <c r="L46" s="29"/>
      <c r="M46" s="29"/>
      <c r="N46" s="29"/>
      <c r="O46" s="29"/>
      <c r="P46" s="29"/>
      <c r="Q46" s="29"/>
      <c r="R46" s="29"/>
      <c r="S46" s="29"/>
      <c r="T46" s="29"/>
      <c r="U46" s="29"/>
      <c r="V46" s="29"/>
      <c r="W46" s="29"/>
      <c r="X46" s="29"/>
      <c r="Y46" s="29"/>
      <c r="Z46" s="29"/>
    </row>
    <row r="47" spans="1:26" ht="60" x14ac:dyDescent="0.2">
      <c r="A47" s="29"/>
      <c r="B47" s="34" t="s">
        <v>200</v>
      </c>
      <c r="C47" s="30" t="s">
        <v>14</v>
      </c>
      <c r="D47" s="30" t="s">
        <v>14</v>
      </c>
      <c r="E47" s="30" t="s">
        <v>37</v>
      </c>
      <c r="F47" s="30" t="s">
        <v>204</v>
      </c>
      <c r="I47" s="30" t="s">
        <v>205</v>
      </c>
      <c r="J47" s="30" t="s">
        <v>286</v>
      </c>
      <c r="K47" s="30" t="s">
        <v>206</v>
      </c>
      <c r="L47" s="29"/>
      <c r="M47" s="29"/>
      <c r="N47" s="29"/>
      <c r="O47" s="29"/>
      <c r="P47" s="29"/>
      <c r="Q47" s="29"/>
      <c r="R47" s="29"/>
      <c r="S47" s="29"/>
      <c r="T47" s="29"/>
      <c r="U47" s="29"/>
      <c r="V47" s="29"/>
      <c r="W47" s="29"/>
      <c r="X47" s="29"/>
      <c r="Y47" s="29"/>
      <c r="Z47" s="29"/>
    </row>
    <row r="48" spans="1:26" ht="60" x14ac:dyDescent="0.2">
      <c r="A48" s="29"/>
      <c r="B48" s="34" t="s">
        <v>200</v>
      </c>
      <c r="C48" s="30" t="s">
        <v>14</v>
      </c>
      <c r="D48" s="30" t="s">
        <v>14</v>
      </c>
      <c r="E48" s="30" t="s">
        <v>37</v>
      </c>
      <c r="F48" s="30" t="s">
        <v>207</v>
      </c>
      <c r="I48" s="30" t="s">
        <v>208</v>
      </c>
      <c r="J48" s="30" t="s">
        <v>209</v>
      </c>
      <c r="K48" s="30" t="s">
        <v>210</v>
      </c>
      <c r="L48" s="29"/>
      <c r="M48" s="29"/>
      <c r="N48" s="29"/>
      <c r="O48" s="29"/>
      <c r="P48" s="29"/>
      <c r="Q48" s="29"/>
      <c r="R48" s="29"/>
      <c r="S48" s="29"/>
      <c r="T48" s="29"/>
      <c r="U48" s="29"/>
      <c r="V48" s="29"/>
      <c r="W48" s="29"/>
      <c r="X48" s="29"/>
      <c r="Y48" s="29"/>
      <c r="Z48" s="29"/>
    </row>
    <row r="49" spans="1:26" ht="30" x14ac:dyDescent="0.2">
      <c r="A49" s="29"/>
      <c r="B49" s="34" t="s">
        <v>211</v>
      </c>
      <c r="C49" s="30" t="s">
        <v>212</v>
      </c>
      <c r="D49" s="30" t="s">
        <v>212</v>
      </c>
      <c r="E49" s="30" t="s">
        <v>37</v>
      </c>
      <c r="F49" s="30" t="s">
        <v>213</v>
      </c>
      <c r="G49" s="30" t="s">
        <v>39</v>
      </c>
      <c r="I49" s="30" t="s">
        <v>214</v>
      </c>
      <c r="J49" s="30" t="s">
        <v>215</v>
      </c>
      <c r="K49" s="30" t="s">
        <v>295</v>
      </c>
      <c r="L49" s="29"/>
      <c r="M49" s="29"/>
      <c r="N49" s="29"/>
      <c r="O49" s="29"/>
      <c r="P49" s="29"/>
      <c r="Q49" s="29"/>
      <c r="R49" s="29"/>
      <c r="S49" s="29"/>
      <c r="T49" s="29"/>
      <c r="U49" s="29"/>
      <c r="V49" s="29"/>
      <c r="W49" s="29"/>
      <c r="X49" s="29"/>
      <c r="Y49" s="29"/>
      <c r="Z49" s="29"/>
    </row>
    <row r="50" spans="1:26" ht="45" x14ac:dyDescent="0.2">
      <c r="A50" s="29"/>
      <c r="B50" s="34" t="s">
        <v>216</v>
      </c>
      <c r="C50" s="30" t="s">
        <v>217</v>
      </c>
      <c r="D50" s="30" t="s">
        <v>217</v>
      </c>
      <c r="E50" s="30" t="s">
        <v>218</v>
      </c>
      <c r="F50" s="30" t="s">
        <v>219</v>
      </c>
      <c r="G50" s="30" t="s">
        <v>39</v>
      </c>
      <c r="I50" s="30" t="s">
        <v>220</v>
      </c>
      <c r="J50" s="30" t="s">
        <v>221</v>
      </c>
      <c r="K50" s="30" t="s">
        <v>222</v>
      </c>
      <c r="L50" s="29"/>
      <c r="M50" s="29"/>
      <c r="N50" s="29"/>
      <c r="O50" s="29"/>
      <c r="P50" s="29"/>
      <c r="Q50" s="29"/>
      <c r="R50" s="29"/>
      <c r="S50" s="29"/>
      <c r="T50" s="29"/>
      <c r="U50" s="29"/>
      <c r="V50" s="29"/>
      <c r="W50" s="29"/>
      <c r="X50" s="29"/>
      <c r="Y50" s="29"/>
      <c r="Z50" s="29"/>
    </row>
    <row r="51" spans="1:26" ht="60" x14ac:dyDescent="0.2">
      <c r="A51" s="29"/>
      <c r="B51" s="34" t="s">
        <v>229</v>
      </c>
      <c r="C51" s="30" t="s">
        <v>17</v>
      </c>
      <c r="D51" s="30" t="s">
        <v>17</v>
      </c>
      <c r="E51" s="30" t="s">
        <v>230</v>
      </c>
      <c r="F51" s="30" t="s">
        <v>231</v>
      </c>
      <c r="G51" s="30" t="s">
        <v>39</v>
      </c>
      <c r="I51" s="30" t="s">
        <v>458</v>
      </c>
      <c r="J51" s="30" t="s">
        <v>80</v>
      </c>
      <c r="L51" s="29"/>
      <c r="M51" s="29"/>
      <c r="N51" s="29"/>
      <c r="O51" s="29"/>
      <c r="P51" s="29"/>
      <c r="Q51" s="29"/>
      <c r="R51" s="29"/>
      <c r="S51" s="29"/>
      <c r="T51" s="29"/>
      <c r="U51" s="29"/>
      <c r="V51" s="29"/>
      <c r="W51" s="29"/>
      <c r="X51" s="29"/>
      <c r="Y51" s="29"/>
      <c r="Z51" s="29"/>
    </row>
    <row r="52" spans="1:26" ht="30" customHeight="1" x14ac:dyDescent="0.2">
      <c r="A52" s="29"/>
      <c r="B52" s="34" t="s">
        <v>223</v>
      </c>
      <c r="C52" s="30" t="s">
        <v>224</v>
      </c>
      <c r="D52" s="30" t="s">
        <v>224</v>
      </c>
      <c r="E52" s="30" t="s">
        <v>300</v>
      </c>
      <c r="F52" s="30" t="s">
        <v>225</v>
      </c>
      <c r="G52" s="30" t="s">
        <v>39</v>
      </c>
      <c r="I52" s="30" t="s">
        <v>226</v>
      </c>
      <c r="J52" s="30" t="s">
        <v>227</v>
      </c>
      <c r="K52" s="30" t="s">
        <v>228</v>
      </c>
      <c r="L52" s="29"/>
      <c r="M52" s="29"/>
      <c r="N52" s="29"/>
      <c r="O52" s="29"/>
      <c r="P52" s="29"/>
      <c r="Q52" s="29"/>
      <c r="R52" s="29"/>
      <c r="S52" s="29"/>
      <c r="T52" s="29"/>
      <c r="U52" s="29"/>
      <c r="V52" s="29"/>
      <c r="W52" s="29"/>
      <c r="X52" s="29"/>
      <c r="Y52" s="29"/>
      <c r="Z52" s="29"/>
    </row>
    <row r="53" spans="1:26" ht="60" x14ac:dyDescent="0.2">
      <c r="A53" s="29"/>
      <c r="B53" s="34" t="s">
        <v>232</v>
      </c>
      <c r="C53" s="30" t="s">
        <v>11</v>
      </c>
      <c r="D53" s="30" t="s">
        <v>11</v>
      </c>
      <c r="E53" s="30" t="s">
        <v>37</v>
      </c>
      <c r="F53" s="30" t="s">
        <v>287</v>
      </c>
      <c r="G53" s="30" t="s">
        <v>39</v>
      </c>
      <c r="I53" s="30" t="s">
        <v>310</v>
      </c>
      <c r="J53" s="30" t="s">
        <v>233</v>
      </c>
      <c r="K53" s="30" t="s">
        <v>96</v>
      </c>
      <c r="L53" s="29"/>
      <c r="M53" s="29"/>
      <c r="N53" s="29"/>
      <c r="O53" s="29"/>
      <c r="P53" s="29"/>
      <c r="Q53" s="29"/>
      <c r="R53" s="29"/>
      <c r="S53" s="29"/>
      <c r="T53" s="29"/>
      <c r="U53" s="29"/>
      <c r="V53" s="29"/>
      <c r="W53" s="29"/>
      <c r="X53" s="29"/>
      <c r="Y53" s="29"/>
      <c r="Z53" s="29"/>
    </row>
    <row r="54" spans="1:26" ht="30" customHeight="1" x14ac:dyDescent="0.2">
      <c r="A54" s="29"/>
      <c r="B54" s="34" t="s">
        <v>234</v>
      </c>
      <c r="C54" s="30" t="s">
        <v>235</v>
      </c>
      <c r="D54" s="30" t="s">
        <v>235</v>
      </c>
      <c r="E54" s="30" t="s">
        <v>37</v>
      </c>
      <c r="F54" s="30" t="s">
        <v>105</v>
      </c>
      <c r="G54" s="30" t="s">
        <v>39</v>
      </c>
      <c r="I54" s="30" t="s">
        <v>236</v>
      </c>
      <c r="L54" s="29"/>
      <c r="M54" s="29"/>
      <c r="N54" s="29"/>
      <c r="O54" s="29"/>
      <c r="P54" s="29"/>
      <c r="Q54" s="29"/>
      <c r="R54" s="29"/>
      <c r="S54" s="29"/>
      <c r="T54" s="29"/>
      <c r="U54" s="29"/>
      <c r="V54" s="29"/>
      <c r="W54" s="29"/>
      <c r="X54" s="29"/>
      <c r="Y54" s="29"/>
      <c r="Z54" s="29"/>
    </row>
    <row r="55" spans="1:26" ht="30" x14ac:dyDescent="0.2">
      <c r="A55" s="29"/>
      <c r="B55" s="34" t="s">
        <v>237</v>
      </c>
      <c r="C55" s="30" t="s">
        <v>238</v>
      </c>
      <c r="D55" s="30" t="s">
        <v>238</v>
      </c>
      <c r="E55" s="30" t="s">
        <v>37</v>
      </c>
      <c r="F55" s="30" t="s">
        <v>239</v>
      </c>
      <c r="G55" s="30" t="s">
        <v>39</v>
      </c>
      <c r="I55" s="30" t="s">
        <v>240</v>
      </c>
      <c r="J55" s="30" t="s">
        <v>241</v>
      </c>
      <c r="K55" s="30" t="s">
        <v>96</v>
      </c>
      <c r="L55" s="29"/>
      <c r="M55" s="29"/>
      <c r="N55" s="29"/>
      <c r="O55" s="29"/>
      <c r="P55" s="29"/>
      <c r="Q55" s="29"/>
      <c r="R55" s="29"/>
      <c r="S55" s="29"/>
      <c r="T55" s="29"/>
      <c r="U55" s="29"/>
      <c r="V55" s="29"/>
      <c r="W55" s="29"/>
      <c r="X55" s="29"/>
      <c r="Y55" s="29"/>
      <c r="Z55" s="29"/>
    </row>
    <row r="56" spans="1:26" ht="30" x14ac:dyDescent="0.2">
      <c r="A56" s="29"/>
      <c r="B56" s="34" t="s">
        <v>242</v>
      </c>
      <c r="C56" s="30" t="s">
        <v>243</v>
      </c>
      <c r="D56" s="30" t="s">
        <v>243</v>
      </c>
      <c r="E56" s="30" t="s">
        <v>218</v>
      </c>
      <c r="F56" s="30" t="s">
        <v>244</v>
      </c>
      <c r="G56" s="30" t="s">
        <v>39</v>
      </c>
      <c r="I56" s="30" t="s">
        <v>245</v>
      </c>
      <c r="J56" s="30" t="s">
        <v>246</v>
      </c>
      <c r="K56" s="30" t="s">
        <v>140</v>
      </c>
      <c r="L56" s="29"/>
      <c r="M56" s="29"/>
      <c r="N56" s="29"/>
      <c r="O56" s="29"/>
      <c r="P56" s="29"/>
      <c r="Q56" s="29"/>
      <c r="R56" s="29"/>
      <c r="S56" s="29"/>
      <c r="T56" s="29"/>
      <c r="U56" s="29"/>
      <c r="V56" s="29"/>
      <c r="W56" s="29"/>
      <c r="X56" s="29"/>
      <c r="Y56" s="29"/>
      <c r="Z56" s="29"/>
    </row>
    <row r="57" spans="1:26" ht="30" customHeight="1" x14ac:dyDescent="0.2">
      <c r="A57" s="29"/>
      <c r="B57" s="34" t="s">
        <v>247</v>
      </c>
      <c r="C57" s="30" t="s">
        <v>248</v>
      </c>
      <c r="D57" s="30" t="s">
        <v>248</v>
      </c>
      <c r="E57" s="30" t="s">
        <v>249</v>
      </c>
      <c r="F57" s="30" t="s">
        <v>47</v>
      </c>
      <c r="G57" s="30" t="s">
        <v>39</v>
      </c>
      <c r="I57" s="30" t="s">
        <v>250</v>
      </c>
      <c r="J57" s="30" t="s">
        <v>251</v>
      </c>
      <c r="L57" s="29"/>
      <c r="M57" s="29"/>
      <c r="N57" s="29"/>
      <c r="O57" s="29"/>
      <c r="P57" s="29"/>
      <c r="Q57" s="29"/>
      <c r="R57" s="29"/>
      <c r="S57" s="29"/>
      <c r="T57" s="29"/>
      <c r="U57" s="29"/>
      <c r="V57" s="29"/>
      <c r="W57" s="29"/>
      <c r="X57" s="29"/>
      <c r="Y57" s="29"/>
      <c r="Z57" s="29"/>
    </row>
    <row r="58" spans="1:26" ht="60" x14ac:dyDescent="0.2">
      <c r="A58" s="29"/>
      <c r="B58" s="34" t="s">
        <v>252</v>
      </c>
      <c r="C58" s="30" t="s">
        <v>253</v>
      </c>
      <c r="D58" s="30" t="s">
        <v>253</v>
      </c>
      <c r="E58" s="30" t="s">
        <v>37</v>
      </c>
      <c r="F58" s="30" t="s">
        <v>254</v>
      </c>
      <c r="G58" s="30" t="s">
        <v>39</v>
      </c>
      <c r="I58" s="30" t="s">
        <v>288</v>
      </c>
      <c r="J58" s="30" t="s">
        <v>255</v>
      </c>
      <c r="K58" s="30" t="s">
        <v>256</v>
      </c>
      <c r="L58" s="29"/>
      <c r="M58" s="29"/>
      <c r="N58" s="29"/>
      <c r="O58" s="29"/>
      <c r="P58" s="29"/>
      <c r="Q58" s="29"/>
      <c r="R58" s="29"/>
      <c r="S58" s="29"/>
      <c r="T58" s="29"/>
      <c r="U58" s="29"/>
      <c r="V58" s="29"/>
      <c r="W58" s="29"/>
      <c r="X58" s="29"/>
      <c r="Y58" s="29"/>
      <c r="Z58" s="29"/>
    </row>
    <row r="59" spans="1:26" ht="30" x14ac:dyDescent="0.2">
      <c r="A59" s="29"/>
      <c r="B59" s="34" t="s">
        <v>257</v>
      </c>
      <c r="C59" s="30" t="s">
        <v>130</v>
      </c>
      <c r="D59" s="30" t="s">
        <v>130</v>
      </c>
      <c r="E59" s="30" t="s">
        <v>37</v>
      </c>
      <c r="F59" s="30" t="s">
        <v>105</v>
      </c>
      <c r="G59" s="30" t="s">
        <v>39</v>
      </c>
      <c r="I59" s="30" t="s">
        <v>289</v>
      </c>
      <c r="J59" s="30" t="s">
        <v>290</v>
      </c>
      <c r="L59" s="29"/>
      <c r="M59" s="29"/>
      <c r="N59" s="29"/>
      <c r="O59" s="29"/>
      <c r="P59" s="29"/>
      <c r="Q59" s="29"/>
      <c r="R59" s="29"/>
      <c r="S59" s="29"/>
      <c r="T59" s="29"/>
      <c r="U59" s="29"/>
      <c r="V59" s="29"/>
      <c r="W59" s="29"/>
      <c r="X59" s="29"/>
      <c r="Y59" s="29"/>
      <c r="Z59" s="29"/>
    </row>
    <row r="60" spans="1:26" ht="30" customHeight="1" x14ac:dyDescent="0.2">
      <c r="A60" s="29"/>
      <c r="B60" s="34" t="s">
        <v>258</v>
      </c>
      <c r="C60" s="30" t="s">
        <v>259</v>
      </c>
      <c r="D60" s="30" t="s">
        <v>259</v>
      </c>
      <c r="E60" s="30" t="s">
        <v>37</v>
      </c>
      <c r="G60" s="30" t="s">
        <v>39</v>
      </c>
      <c r="I60" s="30" t="s">
        <v>309</v>
      </c>
      <c r="J60" s="30" t="s">
        <v>260</v>
      </c>
      <c r="K60" s="30" t="s">
        <v>295</v>
      </c>
      <c r="L60" s="29"/>
      <c r="M60" s="29"/>
      <c r="N60" s="29"/>
      <c r="O60" s="29"/>
      <c r="P60" s="29"/>
      <c r="Q60" s="29"/>
      <c r="R60" s="29"/>
      <c r="S60" s="29"/>
      <c r="T60" s="29"/>
      <c r="U60" s="29"/>
      <c r="V60" s="29"/>
      <c r="W60" s="29"/>
      <c r="X60" s="29"/>
      <c r="Y60" s="29"/>
      <c r="Z60" s="29"/>
    </row>
    <row r="61" spans="1:26" x14ac:dyDescent="0.2">
      <c r="A61" s="29"/>
      <c r="L61" s="29"/>
      <c r="M61" s="29"/>
      <c r="N61" s="29"/>
      <c r="O61" s="29"/>
      <c r="P61" s="29"/>
      <c r="Q61" s="29"/>
      <c r="R61" s="29"/>
      <c r="S61" s="29"/>
      <c r="T61" s="29"/>
      <c r="U61" s="29"/>
      <c r="V61" s="29"/>
      <c r="W61" s="29"/>
      <c r="X61" s="29"/>
      <c r="Y61" s="29"/>
      <c r="Z61" s="29"/>
    </row>
    <row r="62" spans="1:26" x14ac:dyDescent="0.2">
      <c r="A62" s="29"/>
      <c r="L62" s="29"/>
      <c r="M62" s="29"/>
      <c r="N62" s="29"/>
      <c r="O62" s="29"/>
      <c r="P62" s="29"/>
      <c r="Q62" s="29"/>
      <c r="R62" s="29"/>
      <c r="S62" s="29"/>
      <c r="T62" s="29"/>
      <c r="U62" s="29"/>
      <c r="V62" s="29"/>
      <c r="W62" s="29"/>
      <c r="X62" s="29"/>
      <c r="Y62" s="29"/>
      <c r="Z62" s="29"/>
    </row>
    <row r="63" spans="1:26" x14ac:dyDescent="0.2">
      <c r="A63" s="29"/>
      <c r="L63" s="29"/>
      <c r="M63" s="29"/>
      <c r="N63" s="29"/>
      <c r="O63" s="29"/>
      <c r="P63" s="29"/>
      <c r="Q63" s="29"/>
      <c r="R63" s="29"/>
      <c r="S63" s="29"/>
      <c r="T63" s="29"/>
      <c r="U63" s="29"/>
      <c r="V63" s="29"/>
      <c r="W63" s="29"/>
      <c r="X63" s="29"/>
      <c r="Y63" s="29"/>
      <c r="Z63" s="29"/>
    </row>
    <row r="64" spans="1:26" x14ac:dyDescent="0.2">
      <c r="A64" s="29"/>
      <c r="L64" s="29"/>
      <c r="M64" s="29"/>
      <c r="N64" s="29"/>
      <c r="O64" s="29"/>
      <c r="P64" s="29"/>
      <c r="Q64" s="29"/>
      <c r="R64" s="29"/>
      <c r="S64" s="29"/>
      <c r="T64" s="29"/>
      <c r="U64" s="29"/>
      <c r="V64" s="29"/>
      <c r="W64" s="29"/>
      <c r="X64" s="29"/>
      <c r="Y64" s="29"/>
      <c r="Z64" s="29"/>
    </row>
    <row r="65" spans="1:26" x14ac:dyDescent="0.2">
      <c r="A65" s="29"/>
      <c r="L65" s="29"/>
      <c r="M65" s="29"/>
      <c r="N65" s="29"/>
      <c r="O65" s="29"/>
      <c r="P65" s="29"/>
      <c r="Q65" s="29"/>
      <c r="R65" s="29"/>
      <c r="S65" s="29"/>
      <c r="T65" s="29"/>
      <c r="U65" s="29"/>
      <c r="V65" s="29"/>
      <c r="W65" s="29"/>
      <c r="X65" s="29"/>
      <c r="Y65" s="29"/>
      <c r="Z65" s="29"/>
    </row>
    <row r="66" spans="1:26" x14ac:dyDescent="0.2">
      <c r="A66" s="29"/>
      <c r="L66" s="29"/>
      <c r="M66" s="29"/>
      <c r="N66" s="29"/>
      <c r="O66" s="29"/>
      <c r="P66" s="29"/>
      <c r="Q66" s="29"/>
      <c r="R66" s="29"/>
      <c r="S66" s="29"/>
      <c r="T66" s="29"/>
      <c r="U66" s="29"/>
      <c r="V66" s="29"/>
      <c r="W66" s="29"/>
      <c r="X66" s="29"/>
      <c r="Y66" s="29"/>
      <c r="Z66" s="29"/>
    </row>
    <row r="67" spans="1:26" x14ac:dyDescent="0.2">
      <c r="A67" s="29"/>
      <c r="L67" s="29"/>
      <c r="M67" s="29"/>
      <c r="N67" s="29"/>
      <c r="O67" s="29"/>
      <c r="P67" s="29"/>
      <c r="Q67" s="29"/>
      <c r="R67" s="29"/>
      <c r="S67" s="29"/>
      <c r="T67" s="29"/>
      <c r="U67" s="29"/>
      <c r="V67" s="29"/>
      <c r="W67" s="29"/>
      <c r="X67" s="29"/>
      <c r="Y67" s="29"/>
      <c r="Z67" s="29"/>
    </row>
    <row r="68" spans="1:26" x14ac:dyDescent="0.2">
      <c r="A68" s="29"/>
      <c r="L68" s="29"/>
      <c r="M68" s="29"/>
      <c r="N68" s="29"/>
      <c r="O68" s="29"/>
      <c r="P68" s="29"/>
      <c r="Q68" s="29"/>
      <c r="R68" s="29"/>
      <c r="S68" s="29"/>
      <c r="T68" s="29"/>
      <c r="U68" s="29"/>
      <c r="V68" s="29"/>
      <c r="W68" s="29"/>
      <c r="X68" s="29"/>
      <c r="Y68" s="29"/>
      <c r="Z68" s="29"/>
    </row>
    <row r="69" spans="1:26" x14ac:dyDescent="0.2">
      <c r="A69" s="29"/>
      <c r="L69" s="29"/>
      <c r="M69" s="29"/>
      <c r="N69" s="29"/>
      <c r="O69" s="29"/>
      <c r="P69" s="29"/>
      <c r="Q69" s="29"/>
      <c r="R69" s="29"/>
      <c r="S69" s="29"/>
      <c r="T69" s="29"/>
      <c r="U69" s="29"/>
      <c r="V69" s="29"/>
      <c r="W69" s="29"/>
      <c r="X69" s="29"/>
      <c r="Y69" s="29"/>
      <c r="Z69" s="29"/>
    </row>
    <row r="70" spans="1:26" x14ac:dyDescent="0.2">
      <c r="A70" s="29"/>
      <c r="L70" s="29"/>
      <c r="M70" s="29"/>
      <c r="N70" s="29"/>
      <c r="O70" s="29"/>
      <c r="P70" s="29"/>
      <c r="Q70" s="29"/>
      <c r="R70" s="29"/>
      <c r="S70" s="29"/>
      <c r="T70" s="29"/>
      <c r="U70" s="29"/>
      <c r="V70" s="29"/>
      <c r="W70" s="29"/>
      <c r="X70" s="29"/>
      <c r="Y70" s="29"/>
      <c r="Z70" s="29"/>
    </row>
    <row r="71" spans="1:26" x14ac:dyDescent="0.2">
      <c r="A71" s="29"/>
      <c r="L71" s="29"/>
      <c r="M71" s="29"/>
      <c r="N71" s="29"/>
      <c r="O71" s="29"/>
      <c r="P71" s="29"/>
      <c r="Q71" s="29"/>
      <c r="R71" s="29"/>
      <c r="S71" s="29"/>
      <c r="T71" s="29"/>
      <c r="U71" s="29"/>
      <c r="V71" s="29"/>
      <c r="W71" s="29"/>
      <c r="X71" s="29"/>
      <c r="Y71" s="29"/>
      <c r="Z71" s="29"/>
    </row>
    <row r="72" spans="1:26" x14ac:dyDescent="0.2">
      <c r="A72" s="29"/>
      <c r="L72" s="29"/>
      <c r="M72" s="29"/>
      <c r="N72" s="29"/>
      <c r="O72" s="29"/>
      <c r="P72" s="29"/>
      <c r="Q72" s="29"/>
      <c r="R72" s="29"/>
      <c r="S72" s="29"/>
      <c r="T72" s="29"/>
      <c r="U72" s="29"/>
      <c r="V72" s="29"/>
      <c r="W72" s="29"/>
      <c r="X72" s="29"/>
      <c r="Y72" s="29"/>
      <c r="Z72" s="29"/>
    </row>
    <row r="73" spans="1:26" x14ac:dyDescent="0.2">
      <c r="A73" s="29"/>
      <c r="L73" s="29"/>
      <c r="M73" s="29"/>
      <c r="N73" s="29"/>
      <c r="O73" s="29"/>
      <c r="P73" s="29"/>
      <c r="Q73" s="29"/>
      <c r="R73" s="29"/>
      <c r="S73" s="29"/>
      <c r="T73" s="29"/>
      <c r="U73" s="29"/>
      <c r="V73" s="29"/>
      <c r="W73" s="29"/>
      <c r="X73" s="29"/>
      <c r="Y73" s="29"/>
      <c r="Z73" s="29"/>
    </row>
    <row r="74" spans="1:26" x14ac:dyDescent="0.2">
      <c r="A74" s="29"/>
      <c r="L74" s="29"/>
      <c r="M74" s="29"/>
      <c r="N74" s="29"/>
      <c r="O74" s="29"/>
      <c r="P74" s="29"/>
      <c r="Q74" s="29"/>
      <c r="R74" s="29"/>
      <c r="S74" s="29"/>
      <c r="T74" s="29"/>
      <c r="U74" s="29"/>
      <c r="V74" s="29"/>
      <c r="W74" s="29"/>
      <c r="X74" s="29"/>
      <c r="Y74" s="29"/>
      <c r="Z74" s="29"/>
    </row>
    <row r="75" spans="1:26" x14ac:dyDescent="0.2">
      <c r="A75" s="29"/>
      <c r="L75" s="29"/>
      <c r="M75" s="29"/>
      <c r="N75" s="29"/>
      <c r="O75" s="29"/>
      <c r="P75" s="29"/>
      <c r="Q75" s="29"/>
      <c r="R75" s="29"/>
      <c r="S75" s="29"/>
      <c r="T75" s="29"/>
      <c r="U75" s="29"/>
      <c r="V75" s="29"/>
      <c r="W75" s="29"/>
      <c r="X75" s="29"/>
      <c r="Y75" s="29"/>
      <c r="Z75" s="29"/>
    </row>
    <row r="76" spans="1:26" x14ac:dyDescent="0.2">
      <c r="A76" s="29"/>
      <c r="L76" s="29"/>
      <c r="M76" s="29"/>
      <c r="N76" s="29"/>
      <c r="O76" s="29"/>
      <c r="P76" s="29"/>
      <c r="Q76" s="29"/>
      <c r="R76" s="29"/>
      <c r="S76" s="29"/>
      <c r="T76" s="29"/>
      <c r="U76" s="29"/>
      <c r="V76" s="29"/>
      <c r="W76" s="29"/>
      <c r="X76" s="29"/>
      <c r="Y76" s="29"/>
      <c r="Z76" s="29"/>
    </row>
    <row r="77" spans="1:26" x14ac:dyDescent="0.2">
      <c r="A77" s="29"/>
      <c r="L77" s="29"/>
      <c r="M77" s="29"/>
      <c r="N77" s="29"/>
      <c r="O77" s="29"/>
      <c r="P77" s="29"/>
      <c r="Q77" s="29"/>
      <c r="R77" s="29"/>
      <c r="S77" s="29"/>
      <c r="T77" s="29"/>
      <c r="U77" s="29"/>
      <c r="V77" s="29"/>
      <c r="W77" s="29"/>
      <c r="X77" s="29"/>
      <c r="Y77" s="29"/>
      <c r="Z77" s="29"/>
    </row>
    <row r="78" spans="1:26" x14ac:dyDescent="0.2">
      <c r="A78" s="29"/>
      <c r="L78" s="29"/>
      <c r="M78" s="29"/>
      <c r="N78" s="29"/>
      <c r="O78" s="29"/>
      <c r="P78" s="29"/>
      <c r="Q78" s="29"/>
      <c r="R78" s="29"/>
      <c r="S78" s="29"/>
      <c r="T78" s="29"/>
      <c r="U78" s="29"/>
      <c r="V78" s="29"/>
      <c r="W78" s="29"/>
      <c r="X78" s="29"/>
      <c r="Y78" s="29"/>
      <c r="Z78" s="29"/>
    </row>
    <row r="79" spans="1:26" x14ac:dyDescent="0.2">
      <c r="A79" s="29"/>
      <c r="L79" s="29"/>
      <c r="M79" s="29"/>
      <c r="N79" s="29"/>
      <c r="O79" s="29"/>
      <c r="P79" s="29"/>
      <c r="Q79" s="29"/>
      <c r="R79" s="29"/>
      <c r="S79" s="29"/>
      <c r="T79" s="29"/>
      <c r="U79" s="29"/>
      <c r="V79" s="29"/>
      <c r="W79" s="29"/>
      <c r="X79" s="29"/>
      <c r="Y79" s="29"/>
      <c r="Z79" s="29"/>
    </row>
    <row r="80" spans="1:26" x14ac:dyDescent="0.2">
      <c r="A80" s="29"/>
      <c r="L80" s="29"/>
      <c r="M80" s="29"/>
      <c r="N80" s="29"/>
      <c r="O80" s="29"/>
      <c r="P80" s="29"/>
      <c r="Q80" s="29"/>
      <c r="R80" s="29"/>
      <c r="S80" s="29"/>
      <c r="T80" s="29"/>
      <c r="U80" s="29"/>
      <c r="V80" s="29"/>
      <c r="W80" s="29"/>
      <c r="X80" s="29"/>
      <c r="Y80" s="29"/>
      <c r="Z80" s="29"/>
    </row>
    <row r="81" spans="1:26" x14ac:dyDescent="0.2">
      <c r="A81" s="29"/>
      <c r="L81" s="29"/>
      <c r="M81" s="29"/>
      <c r="N81" s="29"/>
      <c r="O81" s="29"/>
      <c r="P81" s="29"/>
      <c r="Q81" s="29"/>
      <c r="R81" s="29"/>
      <c r="S81" s="29"/>
      <c r="T81" s="29"/>
      <c r="U81" s="29"/>
      <c r="V81" s="29"/>
      <c r="W81" s="29"/>
      <c r="X81" s="29"/>
      <c r="Y81" s="29"/>
      <c r="Z81" s="29"/>
    </row>
    <row r="82" spans="1:26" x14ac:dyDescent="0.2">
      <c r="A82" s="29"/>
      <c r="L82" s="29"/>
      <c r="M82" s="29"/>
      <c r="N82" s="29"/>
      <c r="O82" s="29"/>
      <c r="P82" s="29"/>
      <c r="Q82" s="29"/>
      <c r="R82" s="29"/>
      <c r="S82" s="29"/>
      <c r="T82" s="29"/>
      <c r="U82" s="29"/>
      <c r="V82" s="29"/>
      <c r="W82" s="29"/>
      <c r="X82" s="29"/>
      <c r="Y82" s="29"/>
      <c r="Z82" s="29"/>
    </row>
    <row r="83" spans="1:26" x14ac:dyDescent="0.2">
      <c r="A83" s="29"/>
      <c r="L83" s="29"/>
      <c r="M83" s="29"/>
      <c r="N83" s="29"/>
      <c r="O83" s="29"/>
      <c r="P83" s="29"/>
      <c r="Q83" s="29"/>
      <c r="R83" s="29"/>
      <c r="S83" s="29"/>
      <c r="T83" s="29"/>
      <c r="U83" s="29"/>
      <c r="V83" s="29"/>
      <c r="W83" s="29"/>
      <c r="X83" s="29"/>
      <c r="Y83" s="29"/>
      <c r="Z83" s="29"/>
    </row>
    <row r="84" spans="1:26" x14ac:dyDescent="0.2">
      <c r="A84" s="29"/>
      <c r="L84" s="29"/>
      <c r="M84" s="29"/>
      <c r="N84" s="29"/>
      <c r="O84" s="29"/>
      <c r="P84" s="29"/>
      <c r="Q84" s="29"/>
      <c r="R84" s="29"/>
      <c r="S84" s="29"/>
      <c r="T84" s="29"/>
      <c r="U84" s="29"/>
      <c r="V84" s="29"/>
      <c r="W84" s="29"/>
      <c r="X84" s="29"/>
      <c r="Y84" s="29"/>
      <c r="Z84" s="29"/>
    </row>
    <row r="85" spans="1:26" x14ac:dyDescent="0.2">
      <c r="A85" s="29"/>
      <c r="L85" s="29"/>
      <c r="M85" s="29"/>
      <c r="N85" s="29"/>
      <c r="O85" s="29"/>
      <c r="P85" s="29"/>
      <c r="Q85" s="29"/>
      <c r="R85" s="29"/>
      <c r="S85" s="29"/>
      <c r="T85" s="29"/>
      <c r="U85" s="29"/>
      <c r="V85" s="29"/>
      <c r="W85" s="29"/>
      <c r="X85" s="29"/>
      <c r="Y85" s="29"/>
      <c r="Z85" s="29"/>
    </row>
    <row r="86" spans="1:26" x14ac:dyDescent="0.2">
      <c r="A86" s="29"/>
      <c r="L86" s="29"/>
      <c r="M86" s="29"/>
      <c r="N86" s="29"/>
      <c r="O86" s="29"/>
      <c r="P86" s="29"/>
      <c r="Q86" s="29"/>
      <c r="R86" s="29"/>
      <c r="S86" s="29"/>
      <c r="T86" s="29"/>
      <c r="U86" s="29"/>
      <c r="V86" s="29"/>
      <c r="W86" s="29"/>
      <c r="X86" s="29"/>
      <c r="Y86" s="29"/>
      <c r="Z86" s="29"/>
    </row>
    <row r="87" spans="1:26" x14ac:dyDescent="0.2">
      <c r="A87" s="29"/>
      <c r="L87" s="29"/>
      <c r="M87" s="29"/>
      <c r="N87" s="29"/>
      <c r="O87" s="29"/>
      <c r="P87" s="29"/>
      <c r="Q87" s="29"/>
      <c r="R87" s="29"/>
      <c r="S87" s="29"/>
      <c r="T87" s="29"/>
      <c r="U87" s="29"/>
      <c r="V87" s="29"/>
      <c r="W87" s="29"/>
      <c r="X87" s="29"/>
      <c r="Y87" s="29"/>
      <c r="Z87" s="29"/>
    </row>
    <row r="88" spans="1:26" x14ac:dyDescent="0.2">
      <c r="A88" s="29"/>
      <c r="L88" s="29"/>
      <c r="M88" s="29"/>
      <c r="N88" s="29"/>
      <c r="O88" s="29"/>
      <c r="P88" s="29"/>
      <c r="Q88" s="29"/>
      <c r="R88" s="29"/>
      <c r="S88" s="29"/>
      <c r="T88" s="29"/>
      <c r="U88" s="29"/>
      <c r="V88" s="29"/>
      <c r="W88" s="29"/>
      <c r="X88" s="29"/>
      <c r="Y88" s="29"/>
      <c r="Z88" s="29"/>
    </row>
    <row r="89" spans="1:26" x14ac:dyDescent="0.2">
      <c r="A89" s="29"/>
      <c r="L89" s="29"/>
      <c r="M89" s="29"/>
      <c r="N89" s="29"/>
      <c r="O89" s="29"/>
      <c r="P89" s="29"/>
      <c r="Q89" s="29"/>
      <c r="R89" s="29"/>
      <c r="S89" s="29"/>
      <c r="T89" s="29"/>
      <c r="U89" s="29"/>
      <c r="V89" s="29"/>
      <c r="W89" s="29"/>
      <c r="X89" s="29"/>
      <c r="Y89" s="29"/>
      <c r="Z89" s="29"/>
    </row>
    <row r="90" spans="1:26" x14ac:dyDescent="0.2">
      <c r="A90" s="29"/>
      <c r="L90" s="29"/>
      <c r="M90" s="29"/>
      <c r="N90" s="29"/>
      <c r="O90" s="29"/>
      <c r="P90" s="29"/>
      <c r="Q90" s="29"/>
      <c r="R90" s="29"/>
      <c r="S90" s="29"/>
      <c r="T90" s="29"/>
      <c r="U90" s="29"/>
      <c r="V90" s="29"/>
      <c r="W90" s="29"/>
      <c r="X90" s="29"/>
      <c r="Y90" s="29"/>
      <c r="Z90" s="29"/>
    </row>
    <row r="91" spans="1:26" x14ac:dyDescent="0.2">
      <c r="A91" s="29"/>
      <c r="L91" s="29"/>
      <c r="M91" s="29"/>
      <c r="N91" s="29"/>
      <c r="O91" s="29"/>
      <c r="P91" s="29"/>
      <c r="Q91" s="29"/>
      <c r="R91" s="29"/>
      <c r="S91" s="29"/>
      <c r="T91" s="29"/>
      <c r="U91" s="29"/>
      <c r="V91" s="29"/>
      <c r="W91" s="29"/>
      <c r="X91" s="29"/>
      <c r="Y91" s="29"/>
      <c r="Z91" s="29"/>
    </row>
    <row r="92" spans="1:26" x14ac:dyDescent="0.2">
      <c r="A92" s="29"/>
      <c r="L92" s="29"/>
      <c r="M92" s="29"/>
      <c r="N92" s="29"/>
      <c r="O92" s="29"/>
      <c r="P92" s="29"/>
      <c r="Q92" s="29"/>
      <c r="R92" s="29"/>
      <c r="S92" s="29"/>
      <c r="T92" s="29"/>
      <c r="U92" s="29"/>
      <c r="V92" s="29"/>
      <c r="W92" s="29"/>
      <c r="X92" s="29"/>
      <c r="Y92" s="29"/>
      <c r="Z92" s="29"/>
    </row>
    <row r="93" spans="1:26" x14ac:dyDescent="0.2">
      <c r="A93" s="29"/>
      <c r="L93" s="29"/>
      <c r="M93" s="29"/>
      <c r="N93" s="29"/>
      <c r="O93" s="29"/>
      <c r="P93" s="29"/>
      <c r="Q93" s="29"/>
      <c r="R93" s="29"/>
      <c r="S93" s="29"/>
      <c r="T93" s="29"/>
      <c r="U93" s="29"/>
      <c r="V93" s="29"/>
      <c r="W93" s="29"/>
      <c r="X93" s="29"/>
      <c r="Y93" s="29"/>
      <c r="Z93" s="29"/>
    </row>
    <row r="94" spans="1:26" x14ac:dyDescent="0.2">
      <c r="A94" s="29"/>
      <c r="L94" s="29"/>
      <c r="M94" s="29"/>
      <c r="N94" s="29"/>
      <c r="O94" s="29"/>
      <c r="P94" s="29"/>
      <c r="Q94" s="29"/>
      <c r="R94" s="29"/>
      <c r="S94" s="29"/>
      <c r="T94" s="29"/>
      <c r="U94" s="29"/>
      <c r="V94" s="29"/>
      <c r="W94" s="29"/>
      <c r="X94" s="29"/>
      <c r="Y94" s="29"/>
      <c r="Z94" s="29"/>
    </row>
    <row r="95" spans="1:26" x14ac:dyDescent="0.2">
      <c r="A95" s="29"/>
      <c r="L95" s="29"/>
      <c r="M95" s="29"/>
      <c r="N95" s="29"/>
      <c r="O95" s="29"/>
      <c r="P95" s="29"/>
      <c r="Q95" s="29"/>
      <c r="R95" s="29"/>
      <c r="S95" s="29"/>
      <c r="T95" s="29"/>
      <c r="U95" s="29"/>
      <c r="V95" s="29"/>
      <c r="W95" s="29"/>
      <c r="X95" s="29"/>
      <c r="Y95" s="29"/>
      <c r="Z95" s="29"/>
    </row>
    <row r="96" spans="1:26" x14ac:dyDescent="0.2">
      <c r="A96" s="29"/>
      <c r="L96" s="29"/>
      <c r="M96" s="29"/>
      <c r="N96" s="29"/>
      <c r="O96" s="29"/>
      <c r="P96" s="29"/>
      <c r="Q96" s="29"/>
      <c r="R96" s="29"/>
      <c r="S96" s="29"/>
      <c r="T96" s="29"/>
      <c r="U96" s="29"/>
      <c r="V96" s="29"/>
      <c r="W96" s="29"/>
      <c r="X96" s="29"/>
      <c r="Y96" s="29"/>
      <c r="Z96" s="29"/>
    </row>
    <row r="97" spans="1:26" x14ac:dyDescent="0.2">
      <c r="A97" s="29"/>
      <c r="L97" s="29"/>
      <c r="M97" s="29"/>
      <c r="N97" s="29"/>
      <c r="O97" s="29"/>
      <c r="P97" s="29"/>
      <c r="Q97" s="29"/>
      <c r="R97" s="29"/>
      <c r="S97" s="29"/>
      <c r="T97" s="29"/>
      <c r="U97" s="29"/>
      <c r="V97" s="29"/>
      <c r="W97" s="29"/>
      <c r="X97" s="29"/>
      <c r="Y97" s="29"/>
      <c r="Z97" s="29"/>
    </row>
    <row r="98" spans="1:26" x14ac:dyDescent="0.2">
      <c r="A98" s="29"/>
      <c r="L98" s="29"/>
      <c r="M98" s="29"/>
      <c r="N98" s="29"/>
      <c r="O98" s="29"/>
      <c r="P98" s="29"/>
      <c r="Q98" s="29"/>
      <c r="R98" s="29"/>
      <c r="S98" s="29"/>
      <c r="T98" s="29"/>
      <c r="U98" s="29"/>
      <c r="V98" s="29"/>
      <c r="W98" s="29"/>
      <c r="X98" s="29"/>
      <c r="Y98" s="29"/>
      <c r="Z98" s="29"/>
    </row>
    <row r="99" spans="1:26" x14ac:dyDescent="0.2">
      <c r="A99" s="29"/>
      <c r="L99" s="29"/>
      <c r="M99" s="29"/>
      <c r="N99" s="29"/>
      <c r="O99" s="29"/>
      <c r="P99" s="29"/>
      <c r="Q99" s="29"/>
      <c r="R99" s="29"/>
      <c r="S99" s="29"/>
      <c r="T99" s="29"/>
      <c r="U99" s="29"/>
      <c r="V99" s="29"/>
      <c r="W99" s="29"/>
      <c r="X99" s="29"/>
      <c r="Y99" s="29"/>
      <c r="Z99" s="29"/>
    </row>
    <row r="100" spans="1:26" x14ac:dyDescent="0.2">
      <c r="A100" s="29"/>
      <c r="L100" s="29"/>
      <c r="M100" s="29"/>
      <c r="N100" s="29"/>
      <c r="O100" s="29"/>
      <c r="P100" s="29"/>
      <c r="Q100" s="29"/>
      <c r="R100" s="29"/>
      <c r="S100" s="29"/>
      <c r="T100" s="29"/>
      <c r="U100" s="29"/>
      <c r="V100" s="29"/>
      <c r="W100" s="29"/>
      <c r="X100" s="29"/>
      <c r="Y100" s="29"/>
      <c r="Z100" s="29"/>
    </row>
    <row r="101" spans="1:26" x14ac:dyDescent="0.2">
      <c r="A101" s="29"/>
      <c r="L101" s="29"/>
      <c r="M101" s="29"/>
      <c r="N101" s="29"/>
      <c r="O101" s="29"/>
      <c r="P101" s="29"/>
      <c r="Q101" s="29"/>
      <c r="R101" s="29"/>
      <c r="S101" s="29"/>
      <c r="T101" s="29"/>
      <c r="U101" s="29"/>
      <c r="V101" s="29"/>
      <c r="W101" s="29"/>
      <c r="X101" s="29"/>
      <c r="Y101" s="29"/>
      <c r="Z101" s="29"/>
    </row>
    <row r="102" spans="1:26" x14ac:dyDescent="0.2">
      <c r="A102" s="29"/>
      <c r="L102" s="29"/>
      <c r="M102" s="29"/>
      <c r="N102" s="29"/>
      <c r="O102" s="29"/>
      <c r="P102" s="29"/>
      <c r="Q102" s="29"/>
      <c r="R102" s="29"/>
      <c r="S102" s="29"/>
      <c r="T102" s="29"/>
      <c r="U102" s="29"/>
      <c r="V102" s="29"/>
      <c r="W102" s="29"/>
      <c r="X102" s="29"/>
      <c r="Y102" s="29"/>
      <c r="Z102" s="29"/>
    </row>
    <row r="103" spans="1:26" x14ac:dyDescent="0.2">
      <c r="A103" s="29"/>
      <c r="L103" s="29"/>
      <c r="M103" s="29"/>
      <c r="N103" s="29"/>
      <c r="O103" s="29"/>
      <c r="P103" s="29"/>
      <c r="Q103" s="29"/>
      <c r="R103" s="29"/>
      <c r="S103" s="29"/>
      <c r="T103" s="29"/>
      <c r="U103" s="29"/>
      <c r="V103" s="29"/>
      <c r="W103" s="29"/>
      <c r="X103" s="29"/>
      <c r="Y103" s="29"/>
      <c r="Z103" s="29"/>
    </row>
    <row r="104" spans="1:26" x14ac:dyDescent="0.2">
      <c r="A104" s="29"/>
      <c r="L104" s="29"/>
      <c r="M104" s="29"/>
      <c r="N104" s="29"/>
      <c r="O104" s="29"/>
      <c r="P104" s="29"/>
      <c r="Q104" s="29"/>
      <c r="R104" s="29"/>
      <c r="S104" s="29"/>
      <c r="T104" s="29"/>
      <c r="U104" s="29"/>
      <c r="V104" s="29"/>
      <c r="W104" s="29"/>
      <c r="X104" s="29"/>
      <c r="Y104" s="29"/>
      <c r="Z104" s="29"/>
    </row>
    <row r="105" spans="1:26" x14ac:dyDescent="0.2">
      <c r="A105" s="29"/>
      <c r="L105" s="29"/>
      <c r="M105" s="29"/>
      <c r="N105" s="29"/>
      <c r="O105" s="29"/>
      <c r="P105" s="29"/>
      <c r="Q105" s="29"/>
      <c r="R105" s="29"/>
      <c r="S105" s="29"/>
      <c r="T105" s="29"/>
      <c r="U105" s="29"/>
      <c r="V105" s="29"/>
      <c r="W105" s="29"/>
      <c r="X105" s="29"/>
      <c r="Y105" s="29"/>
      <c r="Z105" s="29"/>
    </row>
    <row r="106" spans="1:26" x14ac:dyDescent="0.2">
      <c r="A106" s="29"/>
      <c r="L106" s="29"/>
      <c r="M106" s="29"/>
      <c r="N106" s="29"/>
      <c r="O106" s="29"/>
      <c r="P106" s="29"/>
      <c r="Q106" s="29"/>
      <c r="R106" s="29"/>
      <c r="S106" s="29"/>
      <c r="T106" s="29"/>
      <c r="U106" s="29"/>
      <c r="V106" s="29"/>
      <c r="W106" s="29"/>
      <c r="X106" s="29"/>
      <c r="Y106" s="29"/>
      <c r="Z106" s="29"/>
    </row>
    <row r="107" spans="1:26" x14ac:dyDescent="0.2">
      <c r="A107" s="29"/>
      <c r="L107" s="29"/>
      <c r="M107" s="29"/>
      <c r="N107" s="29"/>
      <c r="O107" s="29"/>
      <c r="P107" s="29"/>
      <c r="Q107" s="29"/>
      <c r="R107" s="29"/>
      <c r="S107" s="29"/>
      <c r="T107" s="29"/>
      <c r="U107" s="29"/>
      <c r="V107" s="29"/>
      <c r="W107" s="29"/>
      <c r="X107" s="29"/>
      <c r="Y107" s="29"/>
      <c r="Z107" s="29"/>
    </row>
    <row r="108" spans="1:26" x14ac:dyDescent="0.2">
      <c r="A108" s="29"/>
      <c r="L108" s="29"/>
      <c r="M108" s="29"/>
      <c r="N108" s="29"/>
      <c r="O108" s="29"/>
      <c r="P108" s="29"/>
      <c r="Q108" s="29"/>
      <c r="R108" s="29"/>
      <c r="S108" s="29"/>
      <c r="T108" s="29"/>
      <c r="U108" s="29"/>
      <c r="V108" s="29"/>
      <c r="W108" s="29"/>
      <c r="X108" s="29"/>
      <c r="Y108" s="29"/>
      <c r="Z108" s="29"/>
    </row>
    <row r="109" spans="1:26" x14ac:dyDescent="0.2">
      <c r="A109" s="29"/>
      <c r="L109" s="29"/>
      <c r="M109" s="29"/>
      <c r="N109" s="29"/>
      <c r="O109" s="29"/>
      <c r="P109" s="29"/>
      <c r="Q109" s="29"/>
      <c r="R109" s="29"/>
      <c r="S109" s="29"/>
      <c r="T109" s="29"/>
      <c r="U109" s="29"/>
      <c r="V109" s="29"/>
      <c r="W109" s="29"/>
      <c r="X109" s="29"/>
      <c r="Y109" s="29"/>
      <c r="Z109" s="29"/>
    </row>
    <row r="110" spans="1:26" x14ac:dyDescent="0.2">
      <c r="A110" s="29"/>
      <c r="L110" s="29"/>
      <c r="M110" s="29"/>
      <c r="N110" s="29"/>
      <c r="O110" s="29"/>
      <c r="P110" s="29"/>
      <c r="Q110" s="29"/>
      <c r="R110" s="29"/>
      <c r="S110" s="29"/>
      <c r="T110" s="29"/>
      <c r="U110" s="29"/>
      <c r="V110" s="29"/>
      <c r="W110" s="29"/>
      <c r="X110" s="29"/>
      <c r="Y110" s="29"/>
      <c r="Z110" s="29"/>
    </row>
    <row r="111" spans="1:26" x14ac:dyDescent="0.2">
      <c r="A111" s="29"/>
      <c r="L111" s="29"/>
      <c r="M111" s="29"/>
      <c r="N111" s="29"/>
      <c r="O111" s="29"/>
      <c r="P111" s="29"/>
      <c r="Q111" s="29"/>
      <c r="R111" s="29"/>
      <c r="S111" s="29"/>
      <c r="T111" s="29"/>
      <c r="U111" s="29"/>
      <c r="V111" s="29"/>
      <c r="W111" s="29"/>
      <c r="X111" s="29"/>
      <c r="Y111" s="29"/>
      <c r="Z111" s="29"/>
    </row>
    <row r="112" spans="1:26" x14ac:dyDescent="0.2">
      <c r="A112" s="29"/>
      <c r="L112" s="29"/>
      <c r="M112" s="29"/>
      <c r="N112" s="29"/>
      <c r="O112" s="29"/>
      <c r="P112" s="29"/>
      <c r="Q112" s="29"/>
      <c r="R112" s="29"/>
      <c r="S112" s="29"/>
      <c r="T112" s="29"/>
      <c r="U112" s="29"/>
      <c r="V112" s="29"/>
      <c r="W112" s="29"/>
      <c r="X112" s="29"/>
      <c r="Y112" s="29"/>
      <c r="Z112" s="29"/>
    </row>
    <row r="113" spans="1:26" x14ac:dyDescent="0.2">
      <c r="A113" s="29"/>
      <c r="L113" s="29"/>
      <c r="M113" s="29"/>
      <c r="N113" s="29"/>
      <c r="O113" s="29"/>
      <c r="P113" s="29"/>
      <c r="Q113" s="29"/>
      <c r="R113" s="29"/>
      <c r="S113" s="29"/>
      <c r="T113" s="29"/>
      <c r="U113" s="29"/>
      <c r="V113" s="29"/>
      <c r="W113" s="29"/>
      <c r="X113" s="29"/>
      <c r="Y113" s="29"/>
      <c r="Z113" s="29"/>
    </row>
    <row r="114" spans="1:26" x14ac:dyDescent="0.2">
      <c r="A114" s="29"/>
      <c r="L114" s="29"/>
      <c r="M114" s="29"/>
      <c r="N114" s="29"/>
      <c r="O114" s="29"/>
      <c r="P114" s="29"/>
      <c r="Q114" s="29"/>
      <c r="R114" s="29"/>
      <c r="S114" s="29"/>
      <c r="T114" s="29"/>
      <c r="U114" s="29"/>
      <c r="V114" s="29"/>
      <c r="W114" s="29"/>
      <c r="X114" s="29"/>
      <c r="Y114" s="29"/>
      <c r="Z114" s="29"/>
    </row>
    <row r="115" spans="1:26" x14ac:dyDescent="0.2">
      <c r="A115" s="29"/>
      <c r="L115" s="29"/>
      <c r="M115" s="29"/>
      <c r="N115" s="29"/>
      <c r="O115" s="29"/>
      <c r="P115" s="29"/>
      <c r="Q115" s="29"/>
      <c r="R115" s="29"/>
      <c r="S115" s="29"/>
      <c r="T115" s="29"/>
      <c r="U115" s="29"/>
      <c r="V115" s="29"/>
      <c r="W115" s="29"/>
      <c r="X115" s="29"/>
      <c r="Y115" s="29"/>
      <c r="Z115" s="29"/>
    </row>
    <row r="116" spans="1:26" x14ac:dyDescent="0.2">
      <c r="A116" s="29"/>
      <c r="L116" s="29"/>
      <c r="M116" s="29"/>
      <c r="N116" s="29"/>
      <c r="O116" s="29"/>
      <c r="P116" s="29"/>
      <c r="Q116" s="29"/>
      <c r="R116" s="29"/>
      <c r="S116" s="29"/>
      <c r="T116" s="29"/>
      <c r="U116" s="29"/>
      <c r="V116" s="29"/>
      <c r="W116" s="29"/>
      <c r="X116" s="29"/>
      <c r="Y116" s="29"/>
      <c r="Z116" s="29"/>
    </row>
    <row r="117" spans="1:26" x14ac:dyDescent="0.2">
      <c r="A117" s="29"/>
      <c r="L117" s="29"/>
      <c r="M117" s="29"/>
      <c r="N117" s="29"/>
      <c r="O117" s="29"/>
      <c r="P117" s="29"/>
      <c r="Q117" s="29"/>
      <c r="R117" s="29"/>
      <c r="S117" s="29"/>
      <c r="T117" s="29"/>
      <c r="U117" s="29"/>
      <c r="V117" s="29"/>
      <c r="W117" s="29"/>
      <c r="X117" s="29"/>
      <c r="Y117" s="29"/>
      <c r="Z117" s="29"/>
    </row>
    <row r="118" spans="1:26" x14ac:dyDescent="0.2">
      <c r="A118" s="29"/>
      <c r="L118" s="29"/>
      <c r="M118" s="29"/>
      <c r="N118" s="29"/>
      <c r="O118" s="29"/>
      <c r="P118" s="29"/>
      <c r="Q118" s="29"/>
      <c r="R118" s="29"/>
      <c r="S118" s="29"/>
      <c r="T118" s="29"/>
      <c r="U118" s="29"/>
      <c r="V118" s="29"/>
      <c r="W118" s="29"/>
      <c r="X118" s="29"/>
      <c r="Y118" s="29"/>
      <c r="Z118" s="29"/>
    </row>
    <row r="119" spans="1:26" x14ac:dyDescent="0.2">
      <c r="A119" s="29"/>
      <c r="L119" s="29"/>
      <c r="M119" s="29"/>
      <c r="N119" s="29"/>
      <c r="O119" s="29"/>
      <c r="P119" s="29"/>
      <c r="Q119" s="29"/>
      <c r="R119" s="29"/>
      <c r="S119" s="29"/>
      <c r="T119" s="29"/>
      <c r="U119" s="29"/>
      <c r="V119" s="29"/>
      <c r="W119" s="29"/>
      <c r="X119" s="29"/>
      <c r="Y119" s="29"/>
      <c r="Z119" s="29"/>
    </row>
    <row r="120" spans="1:26" x14ac:dyDescent="0.2">
      <c r="A120" s="29"/>
      <c r="L120" s="29"/>
      <c r="M120" s="29"/>
      <c r="N120" s="29"/>
      <c r="O120" s="29"/>
      <c r="P120" s="29"/>
      <c r="Q120" s="29"/>
      <c r="R120" s="29"/>
      <c r="S120" s="29"/>
      <c r="T120" s="29"/>
      <c r="U120" s="29"/>
      <c r="V120" s="29"/>
      <c r="W120" s="29"/>
      <c r="X120" s="29"/>
      <c r="Y120" s="29"/>
      <c r="Z120" s="29"/>
    </row>
    <row r="121" spans="1:26" x14ac:dyDescent="0.2">
      <c r="A121" s="29"/>
      <c r="L121" s="29"/>
      <c r="M121" s="29"/>
      <c r="N121" s="29"/>
      <c r="O121" s="29"/>
      <c r="P121" s="29"/>
      <c r="Q121" s="29"/>
      <c r="R121" s="29"/>
      <c r="S121" s="29"/>
      <c r="T121" s="29"/>
      <c r="U121" s="29"/>
      <c r="V121" s="29"/>
      <c r="W121" s="29"/>
      <c r="X121" s="29"/>
      <c r="Y121" s="29"/>
      <c r="Z121" s="29"/>
    </row>
    <row r="122" spans="1:26" x14ac:dyDescent="0.2">
      <c r="A122" s="29"/>
      <c r="L122" s="29"/>
      <c r="M122" s="29"/>
      <c r="N122" s="29"/>
      <c r="O122" s="29"/>
      <c r="P122" s="29"/>
      <c r="Q122" s="29"/>
      <c r="R122" s="29"/>
      <c r="S122" s="29"/>
      <c r="T122" s="29"/>
      <c r="U122" s="29"/>
      <c r="V122" s="29"/>
      <c r="W122" s="29"/>
      <c r="X122" s="29"/>
      <c r="Y122" s="29"/>
      <c r="Z122" s="29"/>
    </row>
    <row r="123" spans="1:26" x14ac:dyDescent="0.2">
      <c r="A123" s="29"/>
      <c r="L123" s="29"/>
      <c r="M123" s="29"/>
      <c r="N123" s="29"/>
      <c r="O123" s="29"/>
      <c r="P123" s="29"/>
      <c r="Q123" s="29"/>
      <c r="R123" s="29"/>
      <c r="S123" s="29"/>
      <c r="T123" s="29"/>
      <c r="U123" s="29"/>
      <c r="V123" s="29"/>
      <c r="W123" s="29"/>
      <c r="X123" s="29"/>
      <c r="Y123" s="29"/>
      <c r="Z123" s="29"/>
    </row>
    <row r="124" spans="1:26" x14ac:dyDescent="0.2">
      <c r="A124" s="29"/>
      <c r="L124" s="29"/>
      <c r="M124" s="29"/>
      <c r="N124" s="29"/>
      <c r="O124" s="29"/>
      <c r="P124" s="29"/>
      <c r="Q124" s="29"/>
      <c r="R124" s="29"/>
      <c r="S124" s="29"/>
      <c r="T124" s="29"/>
      <c r="U124" s="29"/>
      <c r="V124" s="29"/>
      <c r="W124" s="29"/>
      <c r="X124" s="29"/>
      <c r="Y124" s="29"/>
      <c r="Z124" s="29"/>
    </row>
    <row r="125" spans="1:26" x14ac:dyDescent="0.2">
      <c r="A125" s="29"/>
      <c r="L125" s="29"/>
      <c r="M125" s="29"/>
      <c r="N125" s="29"/>
      <c r="O125" s="29"/>
      <c r="P125" s="29"/>
      <c r="Q125" s="29"/>
      <c r="R125" s="29"/>
      <c r="S125" s="29"/>
      <c r="T125" s="29"/>
      <c r="U125" s="29"/>
      <c r="V125" s="29"/>
      <c r="W125" s="29"/>
      <c r="X125" s="29"/>
      <c r="Y125" s="29"/>
      <c r="Z125" s="29"/>
    </row>
    <row r="126" spans="1:26" x14ac:dyDescent="0.2">
      <c r="A126" s="29"/>
      <c r="L126" s="29"/>
      <c r="M126" s="29"/>
      <c r="N126" s="29"/>
      <c r="O126" s="29"/>
      <c r="P126" s="29"/>
      <c r="Q126" s="29"/>
      <c r="R126" s="29"/>
      <c r="S126" s="29"/>
      <c r="T126" s="29"/>
      <c r="U126" s="29"/>
      <c r="V126" s="29"/>
      <c r="W126" s="29"/>
      <c r="X126" s="29"/>
      <c r="Y126" s="29"/>
      <c r="Z126" s="29"/>
    </row>
    <row r="127" spans="1:26" x14ac:dyDescent="0.2">
      <c r="A127" s="29"/>
      <c r="L127" s="29"/>
      <c r="M127" s="29"/>
      <c r="N127" s="29"/>
      <c r="O127" s="29"/>
      <c r="P127" s="29"/>
      <c r="Q127" s="29"/>
      <c r="R127" s="29"/>
      <c r="S127" s="29"/>
      <c r="T127" s="29"/>
      <c r="U127" s="29"/>
      <c r="V127" s="29"/>
      <c r="W127" s="29"/>
      <c r="X127" s="29"/>
      <c r="Y127" s="29"/>
      <c r="Z127" s="29"/>
    </row>
    <row r="128" spans="1:26" x14ac:dyDescent="0.2">
      <c r="A128" s="29"/>
      <c r="L128" s="29"/>
      <c r="M128" s="29"/>
      <c r="N128" s="29"/>
      <c r="O128" s="29"/>
      <c r="P128" s="29"/>
      <c r="Q128" s="29"/>
      <c r="R128" s="29"/>
      <c r="S128" s="29"/>
      <c r="T128" s="29"/>
      <c r="U128" s="29"/>
      <c r="V128" s="29"/>
      <c r="W128" s="29"/>
      <c r="X128" s="29"/>
      <c r="Y128" s="29"/>
      <c r="Z128" s="29"/>
    </row>
    <row r="129" spans="1:26" x14ac:dyDescent="0.2">
      <c r="A129" s="29"/>
      <c r="L129" s="29"/>
      <c r="M129" s="29"/>
      <c r="N129" s="29"/>
      <c r="O129" s="29"/>
      <c r="P129" s="29"/>
      <c r="Q129" s="29"/>
      <c r="R129" s="29"/>
      <c r="S129" s="29"/>
      <c r="T129" s="29"/>
      <c r="U129" s="29"/>
      <c r="V129" s="29"/>
      <c r="W129" s="29"/>
      <c r="X129" s="29"/>
      <c r="Y129" s="29"/>
      <c r="Z129" s="29"/>
    </row>
    <row r="130" spans="1:26" x14ac:dyDescent="0.2">
      <c r="A130" s="29"/>
      <c r="L130" s="29"/>
      <c r="M130" s="29"/>
      <c r="N130" s="29"/>
      <c r="O130" s="29"/>
      <c r="P130" s="29"/>
      <c r="Q130" s="29"/>
      <c r="R130" s="29"/>
      <c r="S130" s="29"/>
      <c r="T130" s="29"/>
      <c r="U130" s="29"/>
      <c r="V130" s="29"/>
      <c r="W130" s="29"/>
      <c r="X130" s="29"/>
      <c r="Y130" s="29"/>
      <c r="Z130" s="29"/>
    </row>
    <row r="131" spans="1:26" x14ac:dyDescent="0.2">
      <c r="A131" s="29"/>
      <c r="L131" s="29"/>
      <c r="M131" s="29"/>
      <c r="N131" s="29"/>
      <c r="O131" s="29"/>
      <c r="P131" s="29"/>
      <c r="Q131" s="29"/>
      <c r="R131" s="29"/>
      <c r="S131" s="29"/>
      <c r="T131" s="29"/>
      <c r="U131" s="29"/>
      <c r="V131" s="29"/>
      <c r="W131" s="29"/>
      <c r="X131" s="29"/>
      <c r="Y131" s="29"/>
      <c r="Z131" s="29"/>
    </row>
    <row r="132" spans="1:26" x14ac:dyDescent="0.2">
      <c r="A132" s="29"/>
      <c r="L132" s="29"/>
      <c r="M132" s="29"/>
      <c r="N132" s="29"/>
      <c r="O132" s="29"/>
      <c r="P132" s="29"/>
      <c r="Q132" s="29"/>
      <c r="R132" s="29"/>
      <c r="S132" s="29"/>
      <c r="T132" s="29"/>
      <c r="U132" s="29"/>
      <c r="V132" s="29"/>
      <c r="W132" s="29"/>
      <c r="X132" s="29"/>
      <c r="Y132" s="29"/>
      <c r="Z132" s="29"/>
    </row>
    <row r="133" spans="1:26" x14ac:dyDescent="0.2">
      <c r="A133" s="29"/>
      <c r="L133" s="29"/>
      <c r="M133" s="29"/>
      <c r="N133" s="29"/>
      <c r="O133" s="29"/>
      <c r="P133" s="29"/>
      <c r="Q133" s="29"/>
      <c r="R133" s="29"/>
      <c r="S133" s="29"/>
      <c r="T133" s="29"/>
      <c r="U133" s="29"/>
      <c r="V133" s="29"/>
      <c r="W133" s="29"/>
      <c r="X133" s="29"/>
      <c r="Y133" s="29"/>
      <c r="Z133" s="29"/>
    </row>
    <row r="134" spans="1:26" x14ac:dyDescent="0.2">
      <c r="A134" s="29"/>
      <c r="L134" s="29"/>
      <c r="M134" s="29"/>
      <c r="N134" s="29"/>
      <c r="O134" s="29"/>
      <c r="P134" s="29"/>
      <c r="Q134" s="29"/>
      <c r="R134" s="29"/>
      <c r="S134" s="29"/>
      <c r="T134" s="29"/>
      <c r="U134" s="29"/>
      <c r="V134" s="29"/>
      <c r="W134" s="29"/>
      <c r="X134" s="29"/>
      <c r="Y134" s="29"/>
      <c r="Z134" s="29"/>
    </row>
    <row r="135" spans="1:26" x14ac:dyDescent="0.2">
      <c r="A135" s="29"/>
      <c r="L135" s="29"/>
      <c r="M135" s="29"/>
      <c r="N135" s="29"/>
      <c r="O135" s="29"/>
      <c r="P135" s="29"/>
      <c r="Q135" s="29"/>
      <c r="R135" s="29"/>
      <c r="S135" s="29"/>
      <c r="T135" s="29"/>
      <c r="U135" s="29"/>
      <c r="V135" s="29"/>
      <c r="W135" s="29"/>
      <c r="X135" s="29"/>
      <c r="Y135" s="29"/>
      <c r="Z135" s="29"/>
    </row>
    <row r="136" spans="1:26" x14ac:dyDescent="0.2">
      <c r="A136" s="29"/>
      <c r="L136" s="29"/>
      <c r="M136" s="29"/>
      <c r="N136" s="29"/>
      <c r="O136" s="29"/>
      <c r="P136" s="29"/>
      <c r="Q136" s="29"/>
      <c r="R136" s="29"/>
      <c r="S136" s="29"/>
      <c r="T136" s="29"/>
      <c r="U136" s="29"/>
      <c r="V136" s="29"/>
      <c r="W136" s="29"/>
      <c r="X136" s="29"/>
      <c r="Y136" s="29"/>
      <c r="Z136" s="29"/>
    </row>
    <row r="137" spans="1:26" x14ac:dyDescent="0.2">
      <c r="A137" s="29"/>
      <c r="L137" s="29"/>
      <c r="M137" s="29"/>
      <c r="N137" s="29"/>
      <c r="O137" s="29"/>
      <c r="P137" s="29"/>
      <c r="Q137" s="29"/>
      <c r="R137" s="29"/>
      <c r="S137" s="29"/>
      <c r="T137" s="29"/>
      <c r="U137" s="29"/>
      <c r="V137" s="29"/>
      <c r="W137" s="29"/>
      <c r="X137" s="29"/>
      <c r="Y137" s="29"/>
      <c r="Z137" s="29"/>
    </row>
    <row r="138" spans="1:26" x14ac:dyDescent="0.2">
      <c r="A138" s="29"/>
      <c r="L138" s="29"/>
      <c r="M138" s="29"/>
      <c r="N138" s="29"/>
      <c r="O138" s="29"/>
      <c r="P138" s="29"/>
      <c r="Q138" s="29"/>
      <c r="R138" s="29"/>
      <c r="S138" s="29"/>
      <c r="T138" s="29"/>
      <c r="U138" s="29"/>
      <c r="V138" s="29"/>
      <c r="W138" s="29"/>
      <c r="X138" s="29"/>
      <c r="Y138" s="29"/>
      <c r="Z138" s="29"/>
    </row>
    <row r="139" spans="1:26" x14ac:dyDescent="0.2">
      <c r="A139" s="29"/>
      <c r="L139" s="29"/>
      <c r="M139" s="29"/>
      <c r="N139" s="29"/>
      <c r="O139" s="29"/>
      <c r="P139" s="29"/>
      <c r="Q139" s="29"/>
      <c r="R139" s="29"/>
      <c r="S139" s="29"/>
      <c r="T139" s="29"/>
      <c r="U139" s="29"/>
      <c r="V139" s="29"/>
      <c r="W139" s="29"/>
      <c r="X139" s="29"/>
      <c r="Y139" s="29"/>
      <c r="Z139" s="29"/>
    </row>
    <row r="140" spans="1:26" x14ac:dyDescent="0.2">
      <c r="A140" s="29"/>
      <c r="L140" s="29"/>
      <c r="M140" s="29"/>
      <c r="N140" s="29"/>
      <c r="O140" s="29"/>
      <c r="P140" s="29"/>
      <c r="Q140" s="29"/>
      <c r="R140" s="29"/>
      <c r="S140" s="29"/>
      <c r="T140" s="29"/>
      <c r="U140" s="29"/>
      <c r="V140" s="29"/>
      <c r="W140" s="29"/>
      <c r="X140" s="29"/>
      <c r="Y140" s="29"/>
      <c r="Z140" s="29"/>
    </row>
    <row r="141" spans="1:26" x14ac:dyDescent="0.2">
      <c r="A141" s="29"/>
      <c r="L141" s="29"/>
      <c r="M141" s="29"/>
      <c r="N141" s="29"/>
      <c r="O141" s="29"/>
      <c r="P141" s="29"/>
      <c r="Q141" s="29"/>
      <c r="R141" s="29"/>
      <c r="S141" s="29"/>
      <c r="T141" s="29"/>
      <c r="U141" s="29"/>
      <c r="V141" s="29"/>
      <c r="W141" s="29"/>
      <c r="X141" s="29"/>
      <c r="Y141" s="29"/>
      <c r="Z141" s="29"/>
    </row>
    <row r="142" spans="1:26" x14ac:dyDescent="0.2">
      <c r="A142" s="29"/>
      <c r="L142" s="29"/>
      <c r="M142" s="29"/>
      <c r="N142" s="29"/>
      <c r="O142" s="29"/>
      <c r="P142" s="29"/>
      <c r="Q142" s="29"/>
      <c r="R142" s="29"/>
      <c r="S142" s="29"/>
      <c r="T142" s="29"/>
      <c r="U142" s="29"/>
      <c r="V142" s="29"/>
      <c r="W142" s="29"/>
      <c r="X142" s="29"/>
      <c r="Y142" s="29"/>
      <c r="Z142" s="29"/>
    </row>
    <row r="143" spans="1:26" x14ac:dyDescent="0.2">
      <c r="A143" s="29"/>
      <c r="L143" s="29"/>
      <c r="M143" s="29"/>
      <c r="N143" s="29"/>
      <c r="O143" s="29"/>
      <c r="P143" s="29"/>
      <c r="Q143" s="29"/>
      <c r="R143" s="29"/>
      <c r="S143" s="29"/>
      <c r="T143" s="29"/>
      <c r="U143" s="29"/>
      <c r="V143" s="29"/>
      <c r="W143" s="29"/>
      <c r="X143" s="29"/>
      <c r="Y143" s="29"/>
      <c r="Z143" s="29"/>
    </row>
    <row r="144" spans="1:26" x14ac:dyDescent="0.2">
      <c r="L144" s="29"/>
      <c r="M144" s="29"/>
      <c r="N144" s="29"/>
      <c r="O144" s="29"/>
      <c r="P144" s="29"/>
      <c r="Q144" s="29"/>
      <c r="R144" s="29"/>
      <c r="S144" s="29"/>
      <c r="T144" s="29"/>
      <c r="U144" s="29"/>
      <c r="V144" s="29"/>
      <c r="W144" s="29"/>
      <c r="X144" s="29"/>
      <c r="Y144" s="29"/>
      <c r="Z144" s="29"/>
    </row>
    <row r="145" spans="12:26" x14ac:dyDescent="0.2">
      <c r="L145" s="29"/>
      <c r="M145" s="29"/>
      <c r="N145" s="29"/>
      <c r="O145" s="29"/>
      <c r="P145" s="29"/>
      <c r="Q145" s="29"/>
      <c r="R145" s="29"/>
      <c r="S145" s="29"/>
      <c r="T145" s="29"/>
      <c r="U145" s="29"/>
      <c r="V145" s="29"/>
      <c r="W145" s="29"/>
      <c r="X145" s="29"/>
      <c r="Y145" s="29"/>
      <c r="Z145" s="29"/>
    </row>
    <row r="146" spans="12:26" x14ac:dyDescent="0.2">
      <c r="L146" s="29"/>
      <c r="M146" s="29"/>
      <c r="N146" s="29"/>
      <c r="O146" s="29"/>
      <c r="P146" s="29"/>
      <c r="Q146" s="29"/>
      <c r="R146" s="29"/>
      <c r="S146" s="29"/>
      <c r="T146" s="29"/>
      <c r="U146" s="29"/>
      <c r="V146" s="29"/>
      <c r="W146" s="29"/>
      <c r="X146" s="29"/>
      <c r="Y146" s="29"/>
      <c r="Z146" s="29"/>
    </row>
    <row r="147" spans="12:26" x14ac:dyDescent="0.2">
      <c r="L147" s="29"/>
      <c r="M147" s="29"/>
      <c r="N147" s="29"/>
      <c r="O147" s="29"/>
      <c r="P147" s="29"/>
      <c r="Q147" s="29"/>
      <c r="R147" s="29"/>
      <c r="S147" s="29"/>
      <c r="T147" s="29"/>
      <c r="U147" s="29"/>
      <c r="V147" s="29"/>
      <c r="W147" s="29"/>
      <c r="X147" s="29"/>
      <c r="Y147" s="29"/>
      <c r="Z147" s="29"/>
    </row>
    <row r="148" spans="12:26" x14ac:dyDescent="0.2">
      <c r="L148" s="29"/>
      <c r="M148" s="29"/>
      <c r="N148" s="29"/>
      <c r="O148" s="29"/>
      <c r="P148" s="29"/>
      <c r="Q148" s="29"/>
      <c r="R148" s="29"/>
      <c r="S148" s="29"/>
      <c r="T148" s="29"/>
      <c r="U148" s="29"/>
      <c r="V148" s="29"/>
      <c r="W148" s="29"/>
      <c r="X148" s="29"/>
      <c r="Y148" s="29"/>
      <c r="Z148" s="29"/>
    </row>
    <row r="149" spans="12:26" x14ac:dyDescent="0.2">
      <c r="L149" s="29"/>
      <c r="M149" s="29"/>
      <c r="N149" s="29"/>
      <c r="O149" s="29"/>
      <c r="P149" s="29"/>
      <c r="Q149" s="29"/>
      <c r="R149" s="29"/>
      <c r="S149" s="29"/>
      <c r="T149" s="29"/>
      <c r="U149" s="29"/>
      <c r="V149" s="29"/>
      <c r="W149" s="29"/>
      <c r="X149" s="29"/>
      <c r="Y149" s="29"/>
      <c r="Z149" s="29"/>
    </row>
    <row r="150" spans="12:26" x14ac:dyDescent="0.2">
      <c r="L150" s="29"/>
      <c r="M150" s="29"/>
      <c r="N150" s="29"/>
      <c r="O150" s="29"/>
      <c r="P150" s="29"/>
      <c r="Q150" s="29"/>
      <c r="R150" s="29"/>
      <c r="S150" s="29"/>
      <c r="T150" s="29"/>
      <c r="U150" s="29"/>
      <c r="V150" s="29"/>
      <c r="W150" s="29"/>
      <c r="X150" s="29"/>
      <c r="Y150" s="29"/>
      <c r="Z150" s="29"/>
    </row>
    <row r="151" spans="12:26" x14ac:dyDescent="0.2">
      <c r="L151" s="29"/>
      <c r="M151" s="29"/>
      <c r="N151" s="29"/>
      <c r="O151" s="29"/>
      <c r="P151" s="29"/>
      <c r="Q151" s="29"/>
      <c r="R151" s="29"/>
      <c r="S151" s="29"/>
      <c r="T151" s="29"/>
      <c r="U151" s="29"/>
      <c r="V151" s="29"/>
      <c r="W151" s="29"/>
      <c r="X151" s="29"/>
      <c r="Y151" s="29"/>
      <c r="Z151" s="29"/>
    </row>
    <row r="152" spans="12:26" x14ac:dyDescent="0.2">
      <c r="L152" s="29"/>
      <c r="M152" s="29"/>
      <c r="N152" s="29"/>
      <c r="O152" s="29"/>
      <c r="P152" s="29"/>
      <c r="Q152" s="29"/>
      <c r="R152" s="29"/>
      <c r="S152" s="29"/>
      <c r="T152" s="29"/>
      <c r="U152" s="29"/>
      <c r="V152" s="29"/>
      <c r="W152" s="29"/>
      <c r="X152" s="29"/>
      <c r="Y152" s="29"/>
      <c r="Z152" s="29"/>
    </row>
    <row r="153" spans="12:26" x14ac:dyDescent="0.2">
      <c r="L153" s="29"/>
      <c r="M153" s="29"/>
      <c r="N153" s="29"/>
      <c r="O153" s="29"/>
      <c r="P153" s="29"/>
      <c r="Q153" s="29"/>
      <c r="R153" s="29"/>
      <c r="S153" s="29"/>
      <c r="T153" s="29"/>
      <c r="U153" s="29"/>
      <c r="V153" s="29"/>
      <c r="W153" s="29"/>
      <c r="X153" s="29"/>
      <c r="Y153" s="29"/>
      <c r="Z153" s="29"/>
    </row>
    <row r="154" spans="12:26" x14ac:dyDescent="0.2">
      <c r="L154" s="29"/>
      <c r="M154" s="29"/>
      <c r="N154" s="29"/>
      <c r="O154" s="29"/>
      <c r="P154" s="29"/>
      <c r="Q154" s="29"/>
      <c r="R154" s="29"/>
      <c r="S154" s="29"/>
      <c r="T154" s="29"/>
      <c r="U154" s="29"/>
      <c r="V154" s="29"/>
      <c r="W154" s="29"/>
      <c r="X154" s="29"/>
      <c r="Y154" s="29"/>
      <c r="Z154" s="29"/>
    </row>
    <row r="155" spans="12:26" x14ac:dyDescent="0.2">
      <c r="L155" s="29"/>
      <c r="M155" s="29"/>
      <c r="N155" s="29"/>
      <c r="O155" s="29"/>
      <c r="P155" s="29"/>
      <c r="Q155" s="29"/>
      <c r="R155" s="29"/>
      <c r="S155" s="29"/>
      <c r="T155" s="29"/>
      <c r="U155" s="29"/>
      <c r="V155" s="29"/>
      <c r="W155" s="29"/>
      <c r="X155" s="29"/>
      <c r="Y155" s="29"/>
      <c r="Z155" s="29"/>
    </row>
    <row r="156" spans="12:26" x14ac:dyDescent="0.2">
      <c r="L156" s="29"/>
      <c r="M156" s="29"/>
      <c r="N156" s="29"/>
      <c r="O156" s="29"/>
      <c r="P156" s="29"/>
      <c r="Q156" s="29"/>
      <c r="R156" s="29"/>
      <c r="S156" s="29"/>
      <c r="T156" s="29"/>
      <c r="U156" s="29"/>
      <c r="V156" s="29"/>
      <c r="W156" s="29"/>
      <c r="X156" s="29"/>
      <c r="Y156" s="29"/>
      <c r="Z156" s="29"/>
    </row>
    <row r="157" spans="12:26" x14ac:dyDescent="0.2">
      <c r="L157" s="29"/>
      <c r="M157" s="29"/>
      <c r="N157" s="29"/>
      <c r="O157" s="29"/>
      <c r="P157" s="29"/>
      <c r="Q157" s="29"/>
      <c r="R157" s="29"/>
      <c r="S157" s="29"/>
      <c r="T157" s="29"/>
      <c r="U157" s="29"/>
      <c r="V157" s="29"/>
      <c r="W157" s="29"/>
      <c r="X157" s="29"/>
      <c r="Y157" s="29"/>
      <c r="Z157" s="29"/>
    </row>
    <row r="158" spans="12:26" x14ac:dyDescent="0.2">
      <c r="L158" s="29"/>
      <c r="M158" s="29"/>
      <c r="N158" s="29"/>
      <c r="O158" s="29"/>
      <c r="P158" s="29"/>
      <c r="Q158" s="29"/>
      <c r="R158" s="29"/>
      <c r="S158" s="29"/>
      <c r="T158" s="29"/>
      <c r="U158" s="29"/>
      <c r="V158" s="29"/>
      <c r="W158" s="29"/>
      <c r="X158" s="29"/>
      <c r="Y158" s="29"/>
      <c r="Z158" s="29"/>
    </row>
    <row r="159" spans="12:26" x14ac:dyDescent="0.2">
      <c r="L159" s="29"/>
      <c r="M159" s="29"/>
      <c r="N159" s="29"/>
      <c r="O159" s="29"/>
      <c r="P159" s="29"/>
      <c r="Q159" s="29"/>
      <c r="R159" s="29"/>
      <c r="S159" s="29"/>
      <c r="T159" s="29"/>
      <c r="U159" s="29"/>
      <c r="V159" s="29"/>
      <c r="W159" s="29"/>
      <c r="X159" s="29"/>
      <c r="Y159" s="29"/>
      <c r="Z159" s="29"/>
    </row>
    <row r="160" spans="12:26" x14ac:dyDescent="0.2">
      <c r="L160" s="29"/>
      <c r="M160" s="29"/>
      <c r="N160" s="29"/>
      <c r="O160" s="29"/>
      <c r="P160" s="29"/>
      <c r="Q160" s="29"/>
      <c r="R160" s="29"/>
      <c r="S160" s="29"/>
      <c r="T160" s="29"/>
      <c r="U160" s="29"/>
      <c r="V160" s="29"/>
      <c r="W160" s="29"/>
      <c r="X160" s="29"/>
      <c r="Y160" s="29"/>
      <c r="Z160" s="29"/>
    </row>
    <row r="161" spans="12:26" x14ac:dyDescent="0.2">
      <c r="L161" s="29"/>
      <c r="M161" s="29"/>
      <c r="N161" s="29"/>
      <c r="O161" s="29"/>
      <c r="P161" s="29"/>
      <c r="Q161" s="29"/>
      <c r="R161" s="29"/>
      <c r="S161" s="29"/>
      <c r="T161" s="29"/>
      <c r="U161" s="29"/>
      <c r="V161" s="29"/>
      <c r="W161" s="29"/>
      <c r="X161" s="29"/>
      <c r="Y161" s="29"/>
      <c r="Z161" s="29"/>
    </row>
    <row r="162" spans="12:26" x14ac:dyDescent="0.2">
      <c r="L162" s="29"/>
      <c r="M162" s="29"/>
      <c r="N162" s="29"/>
      <c r="O162" s="29"/>
      <c r="P162" s="29"/>
      <c r="Q162" s="29"/>
      <c r="R162" s="29"/>
      <c r="S162" s="29"/>
      <c r="T162" s="29"/>
      <c r="U162" s="29"/>
      <c r="V162" s="29"/>
      <c r="W162" s="29"/>
      <c r="X162" s="29"/>
      <c r="Y162" s="29"/>
      <c r="Z162" s="29"/>
    </row>
    <row r="163" spans="12:26" x14ac:dyDescent="0.2">
      <c r="L163" s="29"/>
      <c r="M163" s="29"/>
      <c r="N163" s="29"/>
      <c r="O163" s="29"/>
      <c r="P163" s="29"/>
      <c r="Q163" s="29"/>
      <c r="R163" s="29"/>
      <c r="S163" s="29"/>
      <c r="T163" s="29"/>
      <c r="U163" s="29"/>
      <c r="V163" s="29"/>
      <c r="W163" s="29"/>
      <c r="X163" s="29"/>
      <c r="Y163" s="29"/>
      <c r="Z163" s="29"/>
    </row>
    <row r="164" spans="12:26" x14ac:dyDescent="0.2">
      <c r="L164" s="29"/>
      <c r="M164" s="29"/>
      <c r="N164" s="29"/>
      <c r="O164" s="29"/>
      <c r="P164" s="29"/>
      <c r="Q164" s="29"/>
      <c r="R164" s="29"/>
      <c r="S164" s="29"/>
      <c r="T164" s="29"/>
      <c r="U164" s="29"/>
      <c r="V164" s="29"/>
      <c r="W164" s="29"/>
      <c r="X164" s="29"/>
      <c r="Y164" s="29"/>
      <c r="Z164" s="29"/>
    </row>
    <row r="165" spans="12:26" x14ac:dyDescent="0.2">
      <c r="L165" s="29"/>
      <c r="M165" s="29"/>
      <c r="N165" s="29"/>
      <c r="O165" s="29"/>
      <c r="P165" s="29"/>
      <c r="Q165" s="29"/>
      <c r="R165" s="29"/>
      <c r="S165" s="29"/>
      <c r="T165" s="29"/>
      <c r="U165" s="29"/>
      <c r="V165" s="29"/>
      <c r="W165" s="29"/>
      <c r="X165" s="29"/>
      <c r="Y165" s="29"/>
      <c r="Z165" s="29"/>
    </row>
    <row r="166" spans="12:26" x14ac:dyDescent="0.2">
      <c r="L166" s="29"/>
      <c r="M166" s="29"/>
      <c r="N166" s="29"/>
      <c r="O166" s="29"/>
      <c r="P166" s="29"/>
      <c r="Q166" s="29"/>
      <c r="R166" s="29"/>
      <c r="S166" s="29"/>
      <c r="T166" s="29"/>
      <c r="U166" s="29"/>
      <c r="V166" s="29"/>
      <c r="W166" s="29"/>
      <c r="X166" s="29"/>
      <c r="Y166" s="29"/>
      <c r="Z166" s="29"/>
    </row>
    <row r="167" spans="12:26" x14ac:dyDescent="0.2">
      <c r="L167" s="29"/>
      <c r="M167" s="29"/>
      <c r="N167" s="29"/>
      <c r="O167" s="29"/>
      <c r="P167" s="29"/>
      <c r="Q167" s="29"/>
      <c r="R167" s="29"/>
      <c r="S167" s="29"/>
      <c r="T167" s="29"/>
      <c r="U167" s="29"/>
      <c r="V167" s="29"/>
      <c r="W167" s="29"/>
      <c r="X167" s="29"/>
      <c r="Y167" s="29"/>
      <c r="Z167" s="29"/>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4F0060-0E88-436B-94CE-2CFB19C9F37F}">
  <sheetPr codeName="Sheet3"/>
  <dimension ref="A1:Z200"/>
  <sheetViews>
    <sheetView workbookViewId="0">
      <selection activeCell="B6" sqref="B6"/>
    </sheetView>
  </sheetViews>
  <sheetFormatPr defaultColWidth="9.140625" defaultRowHeight="15" x14ac:dyDescent="0.2"/>
  <cols>
    <col min="1" max="1" width="21.5703125" style="33" customWidth="1"/>
    <col min="2" max="2" width="41.85546875" style="33" customWidth="1"/>
    <col min="3" max="3" width="68.140625" style="33" customWidth="1"/>
    <col min="4" max="4" width="41.28515625" style="33" customWidth="1"/>
    <col min="5" max="5" width="25.28515625" style="39" customWidth="1"/>
    <col min="6" max="6" width="44.140625" style="33" customWidth="1"/>
    <col min="7" max="16384" width="9.140625" style="33"/>
  </cols>
  <sheetData>
    <row r="1" spans="1:26" ht="44.25" customHeight="1" x14ac:dyDescent="0.2">
      <c r="A1" s="32"/>
      <c r="B1" s="32"/>
      <c r="C1" s="32"/>
      <c r="D1" s="32"/>
      <c r="E1" s="36"/>
      <c r="F1" s="32"/>
      <c r="G1" s="32"/>
      <c r="H1" s="32"/>
      <c r="I1" s="32"/>
      <c r="J1" s="32"/>
      <c r="K1" s="32"/>
      <c r="L1" s="32"/>
      <c r="M1" s="32"/>
      <c r="N1" s="32"/>
      <c r="O1" s="32"/>
      <c r="P1" s="32"/>
      <c r="Q1" s="32"/>
      <c r="R1" s="32"/>
      <c r="S1" s="32"/>
      <c r="T1" s="32"/>
      <c r="U1" s="32"/>
      <c r="V1" s="32"/>
      <c r="W1" s="32"/>
      <c r="X1" s="32"/>
      <c r="Y1" s="32"/>
      <c r="Z1" s="32"/>
    </row>
    <row r="2" spans="1:26" ht="20.100000000000001" customHeight="1" x14ac:dyDescent="0.2">
      <c r="A2" s="32"/>
      <c r="B2" s="35" t="s">
        <v>313</v>
      </c>
      <c r="C2" s="35" t="s">
        <v>251</v>
      </c>
      <c r="D2" s="35" t="s">
        <v>314</v>
      </c>
      <c r="E2" s="37" t="s">
        <v>315</v>
      </c>
      <c r="F2" s="35" t="s">
        <v>316</v>
      </c>
      <c r="G2" s="32"/>
      <c r="H2" s="32"/>
      <c r="I2" s="32"/>
      <c r="J2" s="32"/>
      <c r="K2" s="32"/>
      <c r="L2" s="32"/>
      <c r="M2" s="32"/>
      <c r="N2" s="32"/>
      <c r="O2" s="32"/>
      <c r="P2" s="32"/>
      <c r="Q2" s="32"/>
      <c r="R2" s="32"/>
      <c r="S2" s="32"/>
      <c r="T2" s="32"/>
      <c r="U2" s="32"/>
      <c r="V2" s="32"/>
      <c r="W2" s="32"/>
      <c r="X2" s="32"/>
      <c r="Y2" s="32"/>
      <c r="Z2" s="32"/>
    </row>
    <row r="3" spans="1:26" x14ac:dyDescent="0.2">
      <c r="A3" s="32"/>
      <c r="B3" s="44" t="s">
        <v>419</v>
      </c>
      <c r="C3" s="33" t="s">
        <v>430</v>
      </c>
      <c r="D3" s="33" t="s">
        <v>441</v>
      </c>
      <c r="E3" s="38" t="s">
        <v>446</v>
      </c>
      <c r="F3" s="33" t="s">
        <v>39</v>
      </c>
      <c r="G3" s="32"/>
      <c r="H3" s="32"/>
      <c r="I3" s="32"/>
      <c r="J3" s="32"/>
      <c r="K3" s="32"/>
      <c r="L3" s="32"/>
      <c r="M3" s="32"/>
      <c r="N3" s="32"/>
      <c r="O3" s="32"/>
      <c r="P3" s="32"/>
      <c r="Q3" s="32"/>
      <c r="R3" s="32"/>
      <c r="S3" s="32"/>
      <c r="T3" s="32"/>
      <c r="U3" s="32"/>
      <c r="V3" s="32"/>
      <c r="W3" s="32"/>
      <c r="X3" s="32"/>
      <c r="Y3" s="32"/>
      <c r="Z3" s="32"/>
    </row>
    <row r="4" spans="1:26" x14ac:dyDescent="0.2">
      <c r="A4" s="32"/>
      <c r="B4" s="41" t="s">
        <v>341</v>
      </c>
      <c r="C4" s="42" t="s">
        <v>368</v>
      </c>
      <c r="D4" s="42"/>
      <c r="E4" s="43" t="s">
        <v>413</v>
      </c>
      <c r="F4" s="42"/>
      <c r="G4" s="32"/>
      <c r="H4" s="32"/>
      <c r="I4" s="32"/>
      <c r="J4" s="32"/>
      <c r="K4" s="32"/>
      <c r="L4" s="32"/>
      <c r="M4" s="32"/>
      <c r="N4" s="32"/>
      <c r="O4" s="32"/>
      <c r="P4" s="32"/>
      <c r="Q4" s="32"/>
      <c r="R4" s="32"/>
      <c r="S4" s="32"/>
      <c r="T4" s="32"/>
      <c r="U4" s="32"/>
      <c r="V4" s="32"/>
      <c r="W4" s="32"/>
      <c r="X4" s="32"/>
      <c r="Y4" s="32"/>
      <c r="Z4" s="32"/>
    </row>
    <row r="5" spans="1:26" x14ac:dyDescent="0.2">
      <c r="A5" s="32"/>
      <c r="B5" s="41" t="s">
        <v>317</v>
      </c>
      <c r="C5" s="42" t="s">
        <v>344</v>
      </c>
      <c r="D5" s="33" t="s">
        <v>371</v>
      </c>
      <c r="E5" s="43" t="s">
        <v>415</v>
      </c>
      <c r="F5" s="42" t="s">
        <v>416</v>
      </c>
      <c r="G5" s="32"/>
      <c r="H5" s="32"/>
      <c r="I5" s="32"/>
      <c r="J5" s="32"/>
      <c r="K5" s="32"/>
      <c r="L5" s="32"/>
      <c r="M5" s="32"/>
      <c r="N5" s="32"/>
      <c r="O5" s="32"/>
      <c r="P5" s="32"/>
      <c r="Q5" s="32"/>
      <c r="R5" s="32"/>
      <c r="S5" s="32"/>
      <c r="T5" s="32"/>
      <c r="U5" s="32"/>
      <c r="V5" s="32"/>
      <c r="W5" s="32"/>
      <c r="X5" s="32"/>
      <c r="Y5" s="32"/>
      <c r="Z5" s="32"/>
    </row>
    <row r="6" spans="1:26" x14ac:dyDescent="0.2">
      <c r="A6" s="32"/>
      <c r="B6" s="41" t="s">
        <v>318</v>
      </c>
      <c r="C6" s="42" t="s">
        <v>345</v>
      </c>
      <c r="D6" s="33" t="s">
        <v>372</v>
      </c>
      <c r="E6" s="43" t="s">
        <v>403</v>
      </c>
      <c r="F6" s="42" t="s">
        <v>416</v>
      </c>
      <c r="G6" s="32"/>
      <c r="H6" s="32"/>
      <c r="I6" s="32"/>
      <c r="J6" s="32"/>
      <c r="K6" s="32"/>
      <c r="L6" s="32"/>
      <c r="M6" s="32"/>
      <c r="N6" s="32"/>
      <c r="O6" s="32"/>
      <c r="P6" s="32"/>
      <c r="Q6" s="32"/>
      <c r="R6" s="32"/>
      <c r="S6" s="32"/>
      <c r="T6" s="32"/>
      <c r="U6" s="32"/>
      <c r="V6" s="32"/>
      <c r="W6" s="32"/>
      <c r="X6" s="32"/>
      <c r="Y6" s="32"/>
      <c r="Z6" s="32"/>
    </row>
    <row r="7" spans="1:26" x14ac:dyDescent="0.2">
      <c r="A7" s="32"/>
      <c r="B7" s="44" t="s">
        <v>429</v>
      </c>
      <c r="C7" s="33" t="s">
        <v>440</v>
      </c>
      <c r="E7" s="38" t="s">
        <v>454</v>
      </c>
      <c r="F7" s="42" t="s">
        <v>416</v>
      </c>
      <c r="G7" s="32"/>
      <c r="H7" s="32"/>
      <c r="I7" s="32"/>
      <c r="J7" s="32"/>
      <c r="K7" s="32"/>
      <c r="L7" s="32"/>
      <c r="M7" s="32"/>
      <c r="N7" s="32"/>
      <c r="O7" s="32"/>
      <c r="P7" s="32"/>
      <c r="Q7" s="32"/>
      <c r="R7" s="32"/>
      <c r="S7" s="32"/>
      <c r="T7" s="32"/>
      <c r="U7" s="32"/>
      <c r="V7" s="32"/>
      <c r="W7" s="32"/>
      <c r="X7" s="32"/>
      <c r="Y7" s="32"/>
      <c r="Z7" s="32"/>
    </row>
    <row r="8" spans="1:26" x14ac:dyDescent="0.2">
      <c r="A8" s="32"/>
      <c r="B8" s="41" t="s">
        <v>319</v>
      </c>
      <c r="C8" s="42" t="s">
        <v>346</v>
      </c>
      <c r="D8" s="33" t="s">
        <v>373</v>
      </c>
      <c r="E8" s="43" t="s">
        <v>389</v>
      </c>
      <c r="F8" s="42" t="s">
        <v>416</v>
      </c>
      <c r="G8" s="32"/>
      <c r="H8" s="32"/>
      <c r="I8" s="32"/>
      <c r="J8" s="32"/>
      <c r="K8" s="32"/>
      <c r="L8" s="32"/>
      <c r="M8" s="32"/>
      <c r="N8" s="32"/>
      <c r="O8" s="32"/>
      <c r="P8" s="32"/>
      <c r="Q8" s="32"/>
      <c r="R8" s="32"/>
      <c r="S8" s="32"/>
      <c r="T8" s="32"/>
      <c r="U8" s="32"/>
      <c r="V8" s="32"/>
      <c r="W8" s="32"/>
      <c r="X8" s="32"/>
      <c r="Y8" s="32"/>
      <c r="Z8" s="32"/>
    </row>
    <row r="9" spans="1:26" x14ac:dyDescent="0.2">
      <c r="A9" s="32"/>
      <c r="B9" s="41" t="s">
        <v>320</v>
      </c>
      <c r="C9" s="42" t="s">
        <v>347</v>
      </c>
      <c r="D9" s="42"/>
      <c r="E9" s="43" t="s">
        <v>404</v>
      </c>
      <c r="F9" s="42" t="s">
        <v>39</v>
      </c>
      <c r="G9" s="32"/>
      <c r="H9" s="32"/>
      <c r="I9" s="32"/>
      <c r="J9" s="32"/>
      <c r="K9" s="32"/>
      <c r="L9" s="32"/>
      <c r="M9" s="32"/>
      <c r="N9" s="32"/>
      <c r="O9" s="32"/>
      <c r="P9" s="32"/>
      <c r="Q9" s="32"/>
      <c r="R9" s="32"/>
      <c r="S9" s="32"/>
      <c r="T9" s="32"/>
      <c r="U9" s="32"/>
      <c r="V9" s="32"/>
      <c r="W9" s="32"/>
      <c r="X9" s="32"/>
      <c r="Y9" s="32"/>
      <c r="Z9" s="32"/>
    </row>
    <row r="10" spans="1:26" x14ac:dyDescent="0.2">
      <c r="A10" s="32"/>
      <c r="B10" s="41" t="s">
        <v>321</v>
      </c>
      <c r="C10" s="42" t="s">
        <v>348</v>
      </c>
      <c r="D10" s="33" t="s">
        <v>374</v>
      </c>
      <c r="E10" s="43" t="s">
        <v>390</v>
      </c>
      <c r="F10" s="42" t="s">
        <v>416</v>
      </c>
      <c r="G10" s="32"/>
      <c r="H10" s="32"/>
      <c r="I10" s="32"/>
      <c r="J10" s="32"/>
      <c r="K10" s="32"/>
      <c r="L10" s="32"/>
      <c r="M10" s="32"/>
      <c r="N10" s="32"/>
      <c r="O10" s="32"/>
      <c r="P10" s="32"/>
      <c r="Q10" s="32"/>
      <c r="R10" s="32"/>
      <c r="S10" s="32"/>
      <c r="T10" s="32"/>
      <c r="U10" s="32"/>
      <c r="V10" s="32"/>
      <c r="W10" s="32"/>
      <c r="X10" s="32"/>
      <c r="Y10" s="32"/>
      <c r="Z10" s="32"/>
    </row>
    <row r="11" spans="1:26" x14ac:dyDescent="0.2">
      <c r="A11" s="32"/>
      <c r="B11" s="41" t="s">
        <v>322</v>
      </c>
      <c r="C11" s="42" t="s">
        <v>349</v>
      </c>
      <c r="D11" s="33" t="s">
        <v>375</v>
      </c>
      <c r="E11" s="43" t="s">
        <v>405</v>
      </c>
      <c r="F11" s="42" t="s">
        <v>416</v>
      </c>
      <c r="G11" s="32"/>
      <c r="H11" s="32"/>
      <c r="I11" s="32"/>
      <c r="J11" s="32"/>
      <c r="K11" s="32"/>
      <c r="L11" s="32"/>
      <c r="M11" s="32"/>
      <c r="N11" s="32"/>
      <c r="O11" s="32"/>
      <c r="P11" s="32"/>
      <c r="Q11" s="32"/>
      <c r="R11" s="32"/>
      <c r="S11" s="32"/>
      <c r="T11" s="32"/>
      <c r="U11" s="32"/>
      <c r="V11" s="32"/>
      <c r="W11" s="32"/>
      <c r="X11" s="32"/>
      <c r="Y11" s="32"/>
      <c r="Z11" s="32"/>
    </row>
    <row r="12" spans="1:26" x14ac:dyDescent="0.2">
      <c r="A12" s="32"/>
      <c r="B12" s="41" t="s">
        <v>323</v>
      </c>
      <c r="C12" s="42" t="s">
        <v>350</v>
      </c>
      <c r="D12" s="33" t="s">
        <v>376</v>
      </c>
      <c r="E12" s="43" t="s">
        <v>391</v>
      </c>
      <c r="F12" s="42" t="s">
        <v>416</v>
      </c>
      <c r="G12" s="32"/>
      <c r="H12" s="32"/>
      <c r="I12" s="32"/>
      <c r="J12" s="32"/>
      <c r="K12" s="32"/>
      <c r="L12" s="32"/>
      <c r="M12" s="32"/>
      <c r="N12" s="32"/>
      <c r="O12" s="32"/>
      <c r="P12" s="32"/>
      <c r="Q12" s="32"/>
      <c r="R12" s="32"/>
      <c r="S12" s="32"/>
      <c r="T12" s="32"/>
      <c r="U12" s="32"/>
      <c r="V12" s="32"/>
      <c r="W12" s="32"/>
      <c r="X12" s="32"/>
      <c r="Y12" s="32"/>
      <c r="Z12" s="32"/>
    </row>
    <row r="13" spans="1:26" x14ac:dyDescent="0.2">
      <c r="A13" s="32"/>
      <c r="B13" s="41" t="s">
        <v>324</v>
      </c>
      <c r="C13" s="42" t="s">
        <v>351</v>
      </c>
      <c r="D13" s="33" t="s">
        <v>377</v>
      </c>
      <c r="E13" s="43" t="s">
        <v>414</v>
      </c>
      <c r="F13" s="42" t="s">
        <v>39</v>
      </c>
      <c r="G13" s="32"/>
      <c r="H13" s="32"/>
      <c r="I13" s="32"/>
      <c r="J13" s="32"/>
      <c r="K13" s="32"/>
      <c r="L13" s="32"/>
      <c r="M13" s="32"/>
      <c r="N13" s="32"/>
      <c r="O13" s="32"/>
      <c r="P13" s="32"/>
      <c r="Q13" s="32"/>
      <c r="R13" s="32"/>
      <c r="S13" s="32"/>
      <c r="T13" s="32"/>
      <c r="U13" s="32"/>
      <c r="V13" s="32"/>
      <c r="W13" s="32"/>
      <c r="X13" s="32"/>
      <c r="Y13" s="32"/>
      <c r="Z13" s="32"/>
    </row>
    <row r="14" spans="1:26" x14ac:dyDescent="0.2">
      <c r="A14" s="32"/>
      <c r="B14" s="41" t="s">
        <v>325</v>
      </c>
      <c r="C14" s="42" t="s">
        <v>352</v>
      </c>
      <c r="D14" s="33" t="s">
        <v>378</v>
      </c>
      <c r="E14" s="43" t="s">
        <v>392</v>
      </c>
      <c r="F14" s="42" t="s">
        <v>416</v>
      </c>
      <c r="G14" s="32"/>
      <c r="H14" s="32"/>
      <c r="I14" s="32"/>
      <c r="J14" s="32"/>
      <c r="K14" s="32"/>
      <c r="L14" s="32"/>
      <c r="M14" s="32"/>
      <c r="N14" s="32"/>
      <c r="O14" s="32"/>
      <c r="P14" s="32"/>
      <c r="Q14" s="32"/>
      <c r="R14" s="32"/>
      <c r="S14" s="32"/>
      <c r="T14" s="32"/>
      <c r="U14" s="32"/>
      <c r="V14" s="32"/>
      <c r="W14" s="32"/>
      <c r="X14" s="32"/>
      <c r="Y14" s="32"/>
      <c r="Z14" s="32"/>
    </row>
    <row r="15" spans="1:26" x14ac:dyDescent="0.2">
      <c r="A15" s="32"/>
      <c r="B15" s="41" t="s">
        <v>326</v>
      </c>
      <c r="C15" s="42" t="s">
        <v>353</v>
      </c>
      <c r="D15" s="33" t="s">
        <v>379</v>
      </c>
      <c r="E15" s="43" t="s">
        <v>406</v>
      </c>
      <c r="F15" s="42" t="s">
        <v>416</v>
      </c>
      <c r="G15" s="32"/>
      <c r="H15" s="32"/>
      <c r="I15" s="32"/>
      <c r="J15" s="32"/>
      <c r="K15" s="32"/>
      <c r="L15" s="32"/>
      <c r="M15" s="32"/>
      <c r="N15" s="32"/>
      <c r="O15" s="32"/>
      <c r="P15" s="32"/>
      <c r="Q15" s="32"/>
      <c r="R15" s="32"/>
      <c r="S15" s="32"/>
      <c r="T15" s="32"/>
      <c r="U15" s="32"/>
      <c r="V15" s="32"/>
      <c r="W15" s="32"/>
      <c r="X15" s="32"/>
      <c r="Y15" s="32"/>
      <c r="Z15" s="32"/>
    </row>
    <row r="16" spans="1:26" x14ac:dyDescent="0.2">
      <c r="A16" s="32"/>
      <c r="B16" s="41" t="s">
        <v>327</v>
      </c>
      <c r="C16" s="42" t="s">
        <v>354</v>
      </c>
      <c r="D16" s="33" t="s">
        <v>380</v>
      </c>
      <c r="E16" s="43" t="s">
        <v>393</v>
      </c>
      <c r="F16" s="42" t="s">
        <v>416</v>
      </c>
      <c r="G16" s="32"/>
      <c r="H16" s="32"/>
      <c r="I16" s="32"/>
      <c r="J16" s="32"/>
      <c r="K16" s="32"/>
      <c r="L16" s="32"/>
      <c r="M16" s="32"/>
      <c r="N16" s="32"/>
      <c r="O16" s="32"/>
      <c r="P16" s="32"/>
      <c r="Q16" s="32"/>
      <c r="R16" s="32"/>
      <c r="S16" s="32"/>
      <c r="T16" s="32"/>
      <c r="U16" s="32"/>
      <c r="V16" s="32"/>
      <c r="W16" s="32"/>
      <c r="X16" s="32"/>
      <c r="Y16" s="32"/>
      <c r="Z16" s="32"/>
    </row>
    <row r="17" spans="1:26" x14ac:dyDescent="0.2">
      <c r="A17" s="32"/>
      <c r="B17" s="41" t="s">
        <v>328</v>
      </c>
      <c r="C17" s="42" t="s">
        <v>355</v>
      </c>
      <c r="D17" s="33" t="s">
        <v>381</v>
      </c>
      <c r="E17" s="43" t="s">
        <v>394</v>
      </c>
      <c r="F17" s="42" t="s">
        <v>416</v>
      </c>
      <c r="G17" s="32"/>
      <c r="H17" s="32"/>
      <c r="I17" s="32"/>
      <c r="J17" s="32"/>
      <c r="K17" s="32"/>
      <c r="L17" s="32"/>
      <c r="M17" s="32"/>
      <c r="N17" s="32"/>
      <c r="O17" s="32"/>
      <c r="P17" s="32"/>
      <c r="Q17" s="32"/>
      <c r="R17" s="32"/>
      <c r="S17" s="32"/>
      <c r="T17" s="32"/>
      <c r="U17" s="32"/>
      <c r="V17" s="32"/>
      <c r="W17" s="32"/>
      <c r="X17" s="32"/>
      <c r="Y17" s="32"/>
      <c r="Z17" s="32"/>
    </row>
    <row r="18" spans="1:26" x14ac:dyDescent="0.2">
      <c r="A18" s="32"/>
      <c r="B18" s="44" t="s">
        <v>420</v>
      </c>
      <c r="C18" s="33" t="s">
        <v>431</v>
      </c>
      <c r="E18" s="38" t="s">
        <v>452</v>
      </c>
      <c r="F18" s="42" t="s">
        <v>416</v>
      </c>
      <c r="G18" s="32"/>
      <c r="H18" s="32"/>
      <c r="I18" s="32"/>
      <c r="J18" s="32"/>
      <c r="K18" s="32"/>
      <c r="L18" s="32"/>
      <c r="M18" s="32"/>
      <c r="N18" s="32"/>
      <c r="O18" s="32"/>
      <c r="P18" s="32"/>
      <c r="Q18" s="32"/>
      <c r="R18" s="32"/>
      <c r="S18" s="32"/>
      <c r="T18" s="32"/>
      <c r="U18" s="32"/>
      <c r="V18" s="32"/>
      <c r="W18" s="32"/>
      <c r="X18" s="32"/>
      <c r="Y18" s="32"/>
      <c r="Z18" s="32"/>
    </row>
    <row r="19" spans="1:26" x14ac:dyDescent="0.2">
      <c r="A19" s="32"/>
      <c r="B19" s="44" t="s">
        <v>424</v>
      </c>
      <c r="C19" s="33" t="s">
        <v>435</v>
      </c>
      <c r="D19" s="33" t="s">
        <v>443</v>
      </c>
      <c r="E19" s="38" t="s">
        <v>453</v>
      </c>
      <c r="F19" s="42" t="s">
        <v>416</v>
      </c>
      <c r="G19" s="32"/>
      <c r="H19" s="32"/>
      <c r="I19" s="32"/>
      <c r="J19" s="32"/>
      <c r="K19" s="32"/>
      <c r="L19" s="32"/>
      <c r="M19" s="32"/>
      <c r="N19" s="32"/>
      <c r="O19" s="32"/>
      <c r="P19" s="32"/>
      <c r="Q19" s="32"/>
      <c r="R19" s="32"/>
      <c r="S19" s="32"/>
      <c r="T19" s="32"/>
      <c r="U19" s="32"/>
      <c r="V19" s="32"/>
      <c r="W19" s="32"/>
      <c r="X19" s="32"/>
      <c r="Y19" s="32"/>
      <c r="Z19" s="32"/>
    </row>
    <row r="20" spans="1:26" x14ac:dyDescent="0.2">
      <c r="A20" s="32"/>
      <c r="B20" s="41" t="s">
        <v>329</v>
      </c>
      <c r="C20" s="42" t="s">
        <v>356</v>
      </c>
      <c r="D20" s="33" t="s">
        <v>382</v>
      </c>
      <c r="E20" s="43" t="s">
        <v>395</v>
      </c>
      <c r="F20" s="42" t="s">
        <v>416</v>
      </c>
      <c r="G20" s="32"/>
      <c r="H20" s="32"/>
      <c r="I20" s="32"/>
      <c r="J20" s="32"/>
      <c r="K20" s="32"/>
      <c r="L20" s="32"/>
      <c r="M20" s="32"/>
      <c r="N20" s="32"/>
      <c r="O20" s="32"/>
      <c r="P20" s="32"/>
      <c r="Q20" s="32"/>
      <c r="R20" s="32"/>
      <c r="S20" s="32"/>
      <c r="T20" s="32"/>
      <c r="U20" s="32"/>
      <c r="V20" s="32"/>
      <c r="W20" s="32"/>
      <c r="X20" s="32"/>
      <c r="Y20" s="32"/>
      <c r="Z20" s="32"/>
    </row>
    <row r="21" spans="1:26" x14ac:dyDescent="0.2">
      <c r="A21" s="32"/>
      <c r="B21" s="41" t="s">
        <v>330</v>
      </c>
      <c r="C21" s="42" t="s">
        <v>357</v>
      </c>
      <c r="D21" s="33" t="s">
        <v>383</v>
      </c>
      <c r="E21" s="43" t="s">
        <v>396</v>
      </c>
      <c r="F21" s="42" t="s">
        <v>416</v>
      </c>
      <c r="G21" s="32"/>
      <c r="H21" s="32"/>
      <c r="I21" s="32"/>
      <c r="J21" s="32"/>
      <c r="K21" s="32"/>
      <c r="L21" s="32"/>
      <c r="M21" s="32"/>
      <c r="N21" s="32"/>
      <c r="O21" s="32"/>
      <c r="P21" s="32"/>
      <c r="Q21" s="32"/>
      <c r="R21" s="32"/>
      <c r="S21" s="32"/>
      <c r="T21" s="32"/>
      <c r="U21" s="32"/>
      <c r="V21" s="32"/>
      <c r="W21" s="32"/>
      <c r="X21" s="32"/>
      <c r="Y21" s="32"/>
      <c r="Z21" s="32"/>
    </row>
    <row r="22" spans="1:26" x14ac:dyDescent="0.2">
      <c r="A22" s="32"/>
      <c r="B22" s="41" t="s">
        <v>331</v>
      </c>
      <c r="C22" s="42" t="s">
        <v>358</v>
      </c>
      <c r="D22" s="42"/>
      <c r="E22" s="43" t="s">
        <v>407</v>
      </c>
      <c r="F22" s="42" t="s">
        <v>416</v>
      </c>
      <c r="G22" s="32"/>
      <c r="H22" s="32"/>
      <c r="I22" s="32"/>
      <c r="J22" s="32"/>
      <c r="K22" s="32"/>
      <c r="L22" s="32"/>
      <c r="M22" s="32"/>
      <c r="N22" s="32"/>
      <c r="O22" s="32"/>
      <c r="P22" s="32"/>
      <c r="Q22" s="32"/>
      <c r="R22" s="32"/>
      <c r="S22" s="32"/>
      <c r="T22" s="32"/>
      <c r="U22" s="32"/>
      <c r="V22" s="32"/>
      <c r="W22" s="32"/>
      <c r="X22" s="32"/>
      <c r="Y22" s="32"/>
      <c r="Z22" s="32"/>
    </row>
    <row r="23" spans="1:26" x14ac:dyDescent="0.2">
      <c r="A23" s="32"/>
      <c r="B23" s="41" t="s">
        <v>332</v>
      </c>
      <c r="C23" s="42" t="s">
        <v>359</v>
      </c>
      <c r="D23" s="42"/>
      <c r="E23" s="43" t="s">
        <v>408</v>
      </c>
      <c r="F23" s="42"/>
      <c r="G23" s="32"/>
      <c r="H23" s="32"/>
      <c r="I23" s="32"/>
      <c r="J23" s="32"/>
      <c r="K23" s="32"/>
      <c r="L23" s="32"/>
      <c r="M23" s="32"/>
      <c r="N23" s="32"/>
      <c r="O23" s="32"/>
      <c r="P23" s="32"/>
      <c r="Q23" s="32"/>
      <c r="R23" s="32"/>
      <c r="S23" s="32"/>
      <c r="T23" s="32"/>
      <c r="U23" s="32"/>
      <c r="V23" s="32"/>
      <c r="W23" s="32"/>
      <c r="X23" s="32"/>
      <c r="Y23" s="32"/>
      <c r="Z23" s="32"/>
    </row>
    <row r="24" spans="1:26" x14ac:dyDescent="0.2">
      <c r="A24" s="32"/>
      <c r="B24" s="44" t="s">
        <v>427</v>
      </c>
      <c r="C24" s="33" t="s">
        <v>438</v>
      </c>
      <c r="E24" s="38" t="s">
        <v>450</v>
      </c>
      <c r="F24" s="42" t="s">
        <v>416</v>
      </c>
      <c r="G24" s="32"/>
      <c r="H24" s="32"/>
      <c r="I24" s="32"/>
      <c r="J24" s="32"/>
      <c r="K24" s="32"/>
      <c r="L24" s="32"/>
      <c r="M24" s="32"/>
      <c r="N24" s="32"/>
      <c r="O24" s="32"/>
      <c r="P24" s="32"/>
      <c r="Q24" s="32"/>
      <c r="R24" s="32"/>
      <c r="S24" s="32"/>
      <c r="T24" s="32"/>
      <c r="U24" s="32"/>
      <c r="V24" s="32"/>
      <c r="W24" s="32"/>
      <c r="X24" s="32"/>
      <c r="Y24" s="32"/>
      <c r="Z24" s="32"/>
    </row>
    <row r="25" spans="1:26" x14ac:dyDescent="0.2">
      <c r="A25" s="32"/>
      <c r="B25" s="41" t="s">
        <v>333</v>
      </c>
      <c r="C25" s="42" t="s">
        <v>360</v>
      </c>
      <c r="D25" s="33" t="s">
        <v>384</v>
      </c>
      <c r="E25" s="43" t="s">
        <v>397</v>
      </c>
      <c r="F25" s="42" t="s">
        <v>416</v>
      </c>
      <c r="G25" s="32"/>
      <c r="H25" s="32"/>
      <c r="I25" s="32"/>
      <c r="J25" s="32"/>
      <c r="K25" s="32"/>
      <c r="L25" s="32"/>
      <c r="M25" s="32"/>
      <c r="N25" s="32"/>
      <c r="O25" s="32"/>
      <c r="P25" s="32"/>
      <c r="Q25" s="32"/>
      <c r="R25" s="32"/>
      <c r="S25" s="32"/>
      <c r="T25" s="32"/>
      <c r="U25" s="32"/>
      <c r="V25" s="32"/>
      <c r="W25" s="32"/>
      <c r="X25" s="32"/>
      <c r="Y25" s="32"/>
      <c r="Z25" s="32"/>
    </row>
    <row r="26" spans="1:26" x14ac:dyDescent="0.2">
      <c r="A26" s="32"/>
      <c r="B26" s="44" t="s">
        <v>428</v>
      </c>
      <c r="C26" s="33" t="s">
        <v>439</v>
      </c>
      <c r="E26" s="38" t="s">
        <v>451</v>
      </c>
      <c r="F26" s="42" t="s">
        <v>416</v>
      </c>
      <c r="G26" s="32"/>
      <c r="H26" s="32"/>
      <c r="I26" s="32"/>
      <c r="J26" s="32"/>
      <c r="K26" s="32"/>
      <c r="L26" s="32"/>
      <c r="M26" s="32"/>
      <c r="N26" s="32"/>
      <c r="O26" s="32"/>
      <c r="P26" s="32"/>
      <c r="Q26" s="32"/>
      <c r="R26" s="32"/>
      <c r="S26" s="32"/>
      <c r="T26" s="32"/>
      <c r="U26" s="32"/>
      <c r="V26" s="32"/>
      <c r="W26" s="32"/>
      <c r="X26" s="32"/>
      <c r="Y26" s="32"/>
      <c r="Z26" s="32"/>
    </row>
    <row r="27" spans="1:26" x14ac:dyDescent="0.2">
      <c r="A27" s="32"/>
      <c r="B27" s="44" t="s">
        <v>422</v>
      </c>
      <c r="C27" s="33" t="s">
        <v>433</v>
      </c>
      <c r="D27" s="33" t="s">
        <v>442</v>
      </c>
      <c r="E27" s="38" t="s">
        <v>447</v>
      </c>
      <c r="F27" s="42" t="s">
        <v>416</v>
      </c>
      <c r="G27" s="32"/>
      <c r="H27" s="32"/>
      <c r="I27" s="32"/>
      <c r="J27" s="32"/>
      <c r="K27" s="32"/>
      <c r="L27" s="32"/>
      <c r="M27" s="32"/>
      <c r="N27" s="32"/>
      <c r="O27" s="32"/>
      <c r="P27" s="32"/>
      <c r="Q27" s="32"/>
      <c r="R27" s="32"/>
      <c r="S27" s="32"/>
      <c r="T27" s="32"/>
      <c r="U27" s="32"/>
      <c r="V27" s="32"/>
      <c r="W27" s="32"/>
      <c r="X27" s="32"/>
      <c r="Y27" s="32"/>
      <c r="Z27" s="32"/>
    </row>
    <row r="28" spans="1:26" x14ac:dyDescent="0.2">
      <c r="A28" s="32"/>
      <c r="B28" s="41" t="s">
        <v>334</v>
      </c>
      <c r="C28" s="42" t="s">
        <v>361</v>
      </c>
      <c r="D28" s="33" t="s">
        <v>385</v>
      </c>
      <c r="E28" s="43" t="s">
        <v>411</v>
      </c>
      <c r="F28" s="42" t="s">
        <v>416</v>
      </c>
      <c r="G28" s="32"/>
      <c r="H28" s="32"/>
      <c r="I28" s="32"/>
      <c r="J28" s="32"/>
      <c r="K28" s="32"/>
      <c r="L28" s="32"/>
      <c r="M28" s="32"/>
      <c r="N28" s="32"/>
      <c r="O28" s="32"/>
      <c r="P28" s="32"/>
      <c r="Q28" s="32"/>
      <c r="R28" s="32"/>
      <c r="S28" s="32"/>
      <c r="T28" s="32"/>
      <c r="U28" s="32"/>
      <c r="V28" s="32"/>
      <c r="W28" s="32"/>
      <c r="X28" s="32"/>
      <c r="Y28" s="32"/>
      <c r="Z28" s="32"/>
    </row>
    <row r="29" spans="1:26" x14ac:dyDescent="0.2">
      <c r="A29" s="32"/>
      <c r="B29" s="41" t="s">
        <v>335</v>
      </c>
      <c r="C29" s="42" t="s">
        <v>362</v>
      </c>
      <c r="D29" s="42"/>
      <c r="E29" s="43" t="s">
        <v>398</v>
      </c>
      <c r="F29" s="42" t="s">
        <v>416</v>
      </c>
      <c r="G29" s="32"/>
      <c r="H29" s="32"/>
      <c r="I29" s="32"/>
      <c r="J29" s="32"/>
      <c r="K29" s="32"/>
      <c r="L29" s="32"/>
      <c r="M29" s="32"/>
      <c r="N29" s="32"/>
      <c r="O29" s="32"/>
      <c r="P29" s="32"/>
      <c r="Q29" s="32"/>
      <c r="R29" s="32"/>
      <c r="S29" s="32"/>
      <c r="T29" s="32"/>
      <c r="U29" s="32"/>
      <c r="V29" s="32"/>
      <c r="W29" s="32"/>
      <c r="X29" s="32"/>
      <c r="Y29" s="32"/>
      <c r="Z29" s="32"/>
    </row>
    <row r="30" spans="1:26" x14ac:dyDescent="0.2">
      <c r="A30" s="32"/>
      <c r="B30" s="44" t="s">
        <v>423</v>
      </c>
      <c r="C30" s="33" t="s">
        <v>434</v>
      </c>
      <c r="E30" s="38" t="s">
        <v>455</v>
      </c>
      <c r="F30" s="42" t="s">
        <v>416</v>
      </c>
      <c r="G30" s="32"/>
      <c r="H30" s="32"/>
      <c r="I30" s="32"/>
      <c r="J30" s="32"/>
      <c r="K30" s="32"/>
      <c r="L30" s="32"/>
      <c r="M30" s="32"/>
      <c r="N30" s="32"/>
      <c r="O30" s="32"/>
      <c r="P30" s="32"/>
      <c r="Q30" s="32"/>
      <c r="R30" s="32"/>
      <c r="S30" s="32"/>
      <c r="T30" s="32"/>
      <c r="U30" s="32"/>
      <c r="V30" s="32"/>
      <c r="W30" s="32"/>
      <c r="X30" s="32"/>
      <c r="Y30" s="32"/>
      <c r="Z30" s="32"/>
    </row>
    <row r="31" spans="1:26" x14ac:dyDescent="0.2">
      <c r="A31" s="32"/>
      <c r="B31" s="44" t="s">
        <v>425</v>
      </c>
      <c r="C31" s="33" t="s">
        <v>436</v>
      </c>
      <c r="D31" s="33" t="s">
        <v>444</v>
      </c>
      <c r="E31" s="38" t="s">
        <v>448</v>
      </c>
      <c r="F31" s="33" t="s">
        <v>39</v>
      </c>
      <c r="G31" s="32"/>
      <c r="H31" s="32"/>
      <c r="I31" s="32"/>
      <c r="J31" s="32"/>
      <c r="K31" s="32"/>
      <c r="L31" s="32"/>
      <c r="M31" s="32"/>
      <c r="N31" s="32"/>
      <c r="O31" s="32"/>
      <c r="P31" s="32"/>
      <c r="Q31" s="32"/>
      <c r="R31" s="32"/>
      <c r="S31" s="32"/>
      <c r="T31" s="32"/>
      <c r="U31" s="32"/>
      <c r="V31" s="32"/>
      <c r="W31" s="32"/>
      <c r="X31" s="32"/>
      <c r="Y31" s="32"/>
      <c r="Z31" s="32"/>
    </row>
    <row r="32" spans="1:26" x14ac:dyDescent="0.2">
      <c r="A32" s="32"/>
      <c r="B32" s="41" t="s">
        <v>336</v>
      </c>
      <c r="C32" s="42" t="s">
        <v>363</v>
      </c>
      <c r="D32" s="33" t="s">
        <v>386</v>
      </c>
      <c r="E32" s="43" t="s">
        <v>399</v>
      </c>
      <c r="F32" s="45" t="s">
        <v>417</v>
      </c>
      <c r="G32" s="32"/>
      <c r="H32" s="32"/>
      <c r="I32" s="32"/>
      <c r="J32" s="32"/>
      <c r="K32" s="32"/>
      <c r="L32" s="32"/>
      <c r="M32" s="32"/>
      <c r="N32" s="32"/>
      <c r="O32" s="32"/>
      <c r="P32" s="32"/>
      <c r="Q32" s="32"/>
      <c r="R32" s="32"/>
      <c r="S32" s="32"/>
      <c r="T32" s="32"/>
      <c r="U32" s="32"/>
      <c r="V32" s="32"/>
      <c r="W32" s="32"/>
      <c r="X32" s="32"/>
      <c r="Y32" s="32"/>
      <c r="Z32" s="32"/>
    </row>
    <row r="33" spans="1:26" x14ac:dyDescent="0.2">
      <c r="A33" s="32"/>
      <c r="B33" s="41" t="s">
        <v>343</v>
      </c>
      <c r="C33" s="42" t="s">
        <v>370</v>
      </c>
      <c r="D33" s="42"/>
      <c r="E33" s="43" t="s">
        <v>412</v>
      </c>
      <c r="F33" s="42" t="s">
        <v>416</v>
      </c>
      <c r="G33" s="32"/>
      <c r="H33" s="32"/>
      <c r="I33" s="32"/>
      <c r="J33" s="32"/>
      <c r="K33" s="32"/>
      <c r="L33" s="32"/>
      <c r="M33" s="32"/>
      <c r="N33" s="32"/>
      <c r="O33" s="32"/>
      <c r="P33" s="32"/>
      <c r="Q33" s="32"/>
      <c r="R33" s="32"/>
      <c r="S33" s="32"/>
      <c r="T33" s="32"/>
      <c r="U33" s="32"/>
      <c r="V33" s="32"/>
      <c r="W33" s="32"/>
      <c r="X33" s="32"/>
      <c r="Y33" s="32"/>
      <c r="Z33" s="32"/>
    </row>
    <row r="34" spans="1:26" x14ac:dyDescent="0.2">
      <c r="A34" s="32"/>
      <c r="B34" s="41" t="s">
        <v>337</v>
      </c>
      <c r="C34" s="42" t="s">
        <v>364</v>
      </c>
      <c r="D34" s="33" t="s">
        <v>387</v>
      </c>
      <c r="E34" s="43" t="s">
        <v>400</v>
      </c>
      <c r="F34" s="42" t="s">
        <v>416</v>
      </c>
      <c r="G34" s="32"/>
      <c r="H34" s="32"/>
      <c r="I34" s="32"/>
      <c r="J34" s="32"/>
      <c r="K34" s="32"/>
      <c r="L34" s="32"/>
      <c r="M34" s="32"/>
      <c r="N34" s="32"/>
      <c r="O34" s="32"/>
      <c r="P34" s="32"/>
      <c r="Q34" s="32"/>
      <c r="R34" s="32"/>
      <c r="S34" s="32"/>
      <c r="T34" s="32"/>
      <c r="U34" s="32"/>
      <c r="V34" s="32"/>
      <c r="W34" s="32"/>
      <c r="X34" s="32"/>
      <c r="Y34" s="32"/>
      <c r="Z34" s="32"/>
    </row>
    <row r="35" spans="1:26" x14ac:dyDescent="0.2">
      <c r="A35" s="32"/>
      <c r="B35" s="41" t="s">
        <v>338</v>
      </c>
      <c r="C35" s="42" t="s">
        <v>365</v>
      </c>
      <c r="D35" s="33" t="s">
        <v>388</v>
      </c>
      <c r="E35" s="43" t="s">
        <v>401</v>
      </c>
      <c r="F35" s="42" t="s">
        <v>416</v>
      </c>
      <c r="G35" s="32"/>
      <c r="H35" s="32"/>
      <c r="I35" s="32"/>
      <c r="J35" s="32"/>
      <c r="K35" s="32"/>
      <c r="L35" s="32"/>
      <c r="M35" s="32"/>
      <c r="N35" s="32"/>
      <c r="O35" s="32"/>
      <c r="P35" s="32"/>
      <c r="Q35" s="32"/>
      <c r="R35" s="32"/>
      <c r="S35" s="32"/>
      <c r="T35" s="32"/>
      <c r="U35" s="32"/>
      <c r="V35" s="32"/>
      <c r="W35" s="32"/>
      <c r="X35" s="32"/>
      <c r="Y35" s="32"/>
      <c r="Z35" s="32"/>
    </row>
    <row r="36" spans="1:26" x14ac:dyDescent="0.2">
      <c r="A36" s="32"/>
      <c r="B36" s="41" t="s">
        <v>339</v>
      </c>
      <c r="C36" s="42" t="s">
        <v>366</v>
      </c>
      <c r="D36" s="42"/>
      <c r="E36" s="43" t="s">
        <v>402</v>
      </c>
      <c r="F36" s="42" t="s">
        <v>416</v>
      </c>
      <c r="G36" s="32"/>
      <c r="H36" s="32"/>
      <c r="I36" s="32"/>
      <c r="J36" s="32"/>
      <c r="K36" s="32"/>
      <c r="L36" s="32"/>
      <c r="M36" s="32"/>
      <c r="N36" s="32"/>
      <c r="O36" s="32"/>
      <c r="P36" s="32"/>
      <c r="Q36" s="32"/>
      <c r="R36" s="32"/>
      <c r="S36" s="32"/>
      <c r="T36" s="32"/>
      <c r="U36" s="32"/>
      <c r="V36" s="32"/>
      <c r="W36" s="32"/>
      <c r="X36" s="32"/>
      <c r="Y36" s="32"/>
      <c r="Z36" s="32"/>
    </row>
    <row r="37" spans="1:26" x14ac:dyDescent="0.2">
      <c r="A37" s="32"/>
      <c r="B37" s="41" t="s">
        <v>342</v>
      </c>
      <c r="C37" s="42" t="s">
        <v>369</v>
      </c>
      <c r="D37" s="42"/>
      <c r="E37" s="43" t="s">
        <v>410</v>
      </c>
      <c r="F37" s="42"/>
      <c r="G37" s="32"/>
      <c r="H37" s="32"/>
      <c r="I37" s="32"/>
      <c r="J37" s="32"/>
      <c r="K37" s="32"/>
      <c r="L37" s="32"/>
      <c r="M37" s="32"/>
      <c r="N37" s="32"/>
      <c r="O37" s="32"/>
      <c r="P37" s="32"/>
      <c r="Q37" s="32"/>
      <c r="R37" s="32"/>
      <c r="S37" s="32"/>
      <c r="T37" s="32"/>
      <c r="U37" s="32"/>
      <c r="V37" s="32"/>
      <c r="W37" s="32"/>
      <c r="X37" s="32"/>
      <c r="Y37" s="32"/>
      <c r="Z37" s="32"/>
    </row>
    <row r="38" spans="1:26" x14ac:dyDescent="0.2">
      <c r="A38" s="32"/>
      <c r="B38" s="44" t="s">
        <v>426</v>
      </c>
      <c r="C38" s="33" t="s">
        <v>437</v>
      </c>
      <c r="D38" s="33" t="s">
        <v>445</v>
      </c>
      <c r="E38" s="38" t="s">
        <v>449</v>
      </c>
      <c r="F38" s="42" t="s">
        <v>416</v>
      </c>
      <c r="G38" s="32"/>
      <c r="H38" s="32"/>
      <c r="I38" s="32"/>
      <c r="J38" s="32"/>
      <c r="K38" s="32"/>
      <c r="L38" s="32"/>
      <c r="M38" s="32"/>
      <c r="N38" s="32"/>
      <c r="O38" s="32"/>
      <c r="P38" s="32"/>
      <c r="Q38" s="32"/>
      <c r="R38" s="32"/>
      <c r="S38" s="32"/>
      <c r="T38" s="32"/>
      <c r="U38" s="32"/>
      <c r="V38" s="32"/>
      <c r="W38" s="32"/>
      <c r="X38" s="32"/>
      <c r="Y38" s="32"/>
      <c r="Z38" s="32"/>
    </row>
    <row r="39" spans="1:26" x14ac:dyDescent="0.2">
      <c r="A39" s="32"/>
      <c r="B39" s="41" t="s">
        <v>340</v>
      </c>
      <c r="C39" s="42" t="s">
        <v>367</v>
      </c>
      <c r="D39" s="42"/>
      <c r="E39" s="43" t="s">
        <v>409</v>
      </c>
      <c r="F39" s="42" t="s">
        <v>416</v>
      </c>
      <c r="G39" s="32"/>
      <c r="H39" s="32"/>
      <c r="I39" s="32"/>
      <c r="J39" s="32"/>
      <c r="K39" s="32"/>
      <c r="L39" s="32"/>
      <c r="M39" s="32"/>
      <c r="N39" s="32"/>
      <c r="O39" s="32"/>
      <c r="P39" s="32"/>
      <c r="Q39" s="32"/>
      <c r="R39" s="32"/>
      <c r="S39" s="32"/>
      <c r="T39" s="32"/>
      <c r="U39" s="32"/>
      <c r="V39" s="32"/>
      <c r="W39" s="32"/>
      <c r="X39" s="32"/>
      <c r="Y39" s="32"/>
      <c r="Z39" s="32"/>
    </row>
    <row r="40" spans="1:26" ht="30" x14ac:dyDescent="0.2">
      <c r="A40" s="32"/>
      <c r="B40" s="44" t="s">
        <v>421</v>
      </c>
      <c r="C40" s="33" t="s">
        <v>432</v>
      </c>
      <c r="E40" s="40" t="s">
        <v>456</v>
      </c>
      <c r="F40" s="42" t="s">
        <v>416</v>
      </c>
      <c r="G40" s="32"/>
      <c r="H40" s="32"/>
      <c r="I40" s="32"/>
      <c r="J40" s="32"/>
      <c r="K40" s="32"/>
      <c r="L40" s="32"/>
      <c r="M40" s="32"/>
      <c r="N40" s="32"/>
      <c r="O40" s="32"/>
      <c r="P40" s="32"/>
      <c r="Q40" s="32"/>
      <c r="R40" s="32"/>
      <c r="S40" s="32"/>
      <c r="T40" s="32"/>
      <c r="U40" s="32"/>
      <c r="V40" s="32"/>
      <c r="W40" s="32"/>
      <c r="X40" s="32"/>
      <c r="Y40" s="32"/>
      <c r="Z40" s="32"/>
    </row>
    <row r="41" spans="1:26" x14ac:dyDescent="0.2">
      <c r="A41" s="32"/>
      <c r="G41" s="32"/>
      <c r="H41" s="32"/>
      <c r="I41" s="32"/>
      <c r="J41" s="32"/>
      <c r="K41" s="32"/>
      <c r="L41" s="32"/>
      <c r="M41" s="32"/>
      <c r="N41" s="32"/>
      <c r="O41" s="32"/>
      <c r="P41" s="32"/>
      <c r="Q41" s="32"/>
      <c r="R41" s="32"/>
      <c r="S41" s="32"/>
      <c r="T41" s="32"/>
      <c r="U41" s="32"/>
      <c r="V41" s="32"/>
      <c r="W41" s="32"/>
      <c r="X41" s="32"/>
      <c r="Y41" s="32"/>
      <c r="Z41" s="32"/>
    </row>
    <row r="42" spans="1:26" x14ac:dyDescent="0.2">
      <c r="A42" s="32"/>
      <c r="G42" s="32"/>
      <c r="H42" s="32"/>
      <c r="I42" s="32"/>
      <c r="J42" s="32"/>
      <c r="K42" s="32"/>
      <c r="L42" s="32"/>
      <c r="M42" s="32"/>
      <c r="N42" s="32"/>
      <c r="O42" s="32"/>
      <c r="P42" s="32"/>
      <c r="Q42" s="32"/>
      <c r="R42" s="32"/>
      <c r="S42" s="32"/>
      <c r="T42" s="32"/>
      <c r="U42" s="32"/>
      <c r="V42" s="32"/>
      <c r="W42" s="32"/>
      <c r="X42" s="32"/>
      <c r="Y42" s="32"/>
      <c r="Z42" s="32"/>
    </row>
    <row r="43" spans="1:26" x14ac:dyDescent="0.2">
      <c r="A43" s="32"/>
      <c r="G43" s="32"/>
      <c r="H43" s="32"/>
      <c r="I43" s="32"/>
      <c r="J43" s="32"/>
      <c r="K43" s="32"/>
      <c r="L43" s="32"/>
      <c r="M43" s="32"/>
      <c r="N43" s="32"/>
      <c r="O43" s="32"/>
      <c r="P43" s="32"/>
      <c r="Q43" s="32"/>
      <c r="R43" s="32"/>
      <c r="S43" s="32"/>
      <c r="T43" s="32"/>
      <c r="U43" s="32"/>
      <c r="V43" s="32"/>
      <c r="W43" s="32"/>
      <c r="X43" s="32"/>
      <c r="Y43" s="32"/>
      <c r="Z43" s="32"/>
    </row>
    <row r="44" spans="1:26" x14ac:dyDescent="0.2">
      <c r="A44" s="32"/>
      <c r="G44" s="32"/>
      <c r="H44" s="32"/>
      <c r="I44" s="32"/>
      <c r="J44" s="32"/>
      <c r="K44" s="32"/>
      <c r="L44" s="32"/>
      <c r="M44" s="32"/>
      <c r="N44" s="32"/>
      <c r="O44" s="32"/>
      <c r="P44" s="32"/>
      <c r="Q44" s="32"/>
      <c r="R44" s="32"/>
      <c r="S44" s="32"/>
      <c r="T44" s="32"/>
      <c r="U44" s="32"/>
      <c r="V44" s="32"/>
      <c r="W44" s="32"/>
      <c r="X44" s="32"/>
      <c r="Y44" s="32"/>
      <c r="Z44" s="32"/>
    </row>
    <row r="45" spans="1:26" x14ac:dyDescent="0.2">
      <c r="A45" s="32"/>
      <c r="G45" s="32"/>
      <c r="H45" s="32"/>
      <c r="I45" s="32"/>
      <c r="J45" s="32"/>
      <c r="K45" s="32"/>
      <c r="L45" s="32"/>
      <c r="M45" s="32"/>
      <c r="N45" s="32"/>
      <c r="O45" s="32"/>
      <c r="P45" s="32"/>
      <c r="Q45" s="32"/>
      <c r="R45" s="32"/>
      <c r="S45" s="32"/>
      <c r="T45" s="32"/>
      <c r="U45" s="32"/>
      <c r="V45" s="32"/>
      <c r="W45" s="32"/>
      <c r="X45" s="32"/>
      <c r="Y45" s="32"/>
      <c r="Z45" s="32"/>
    </row>
    <row r="46" spans="1:26" x14ac:dyDescent="0.2">
      <c r="A46" s="32"/>
      <c r="G46" s="32"/>
      <c r="H46" s="32"/>
      <c r="I46" s="32"/>
      <c r="J46" s="32"/>
      <c r="K46" s="32"/>
      <c r="L46" s="32"/>
      <c r="M46" s="32"/>
      <c r="N46" s="32"/>
      <c r="O46" s="32"/>
      <c r="P46" s="32"/>
      <c r="Q46" s="32"/>
      <c r="R46" s="32"/>
      <c r="S46" s="32"/>
      <c r="T46" s="32"/>
      <c r="U46" s="32"/>
      <c r="V46" s="32"/>
      <c r="W46" s="32"/>
      <c r="X46" s="32"/>
      <c r="Y46" s="32"/>
      <c r="Z46" s="32"/>
    </row>
    <row r="47" spans="1:26" x14ac:dyDescent="0.2">
      <c r="A47" s="32"/>
      <c r="G47" s="32"/>
      <c r="H47" s="32"/>
      <c r="I47" s="32"/>
      <c r="J47" s="32"/>
      <c r="K47" s="32"/>
      <c r="L47" s="32"/>
      <c r="M47" s="32"/>
      <c r="N47" s="32"/>
      <c r="O47" s="32"/>
      <c r="P47" s="32"/>
      <c r="Q47" s="32"/>
      <c r="R47" s="32"/>
      <c r="S47" s="32"/>
      <c r="T47" s="32"/>
      <c r="U47" s="32"/>
      <c r="V47" s="32"/>
      <c r="W47" s="32"/>
      <c r="X47" s="32"/>
      <c r="Y47" s="32"/>
      <c r="Z47" s="32"/>
    </row>
    <row r="48" spans="1:26" x14ac:dyDescent="0.2">
      <c r="A48" s="32"/>
      <c r="G48" s="32"/>
      <c r="H48" s="32"/>
      <c r="I48" s="32"/>
      <c r="J48" s="32"/>
      <c r="K48" s="32"/>
      <c r="L48" s="32"/>
      <c r="M48" s="32"/>
      <c r="N48" s="32"/>
      <c r="O48" s="32"/>
      <c r="P48" s="32"/>
      <c r="Q48" s="32"/>
      <c r="R48" s="32"/>
      <c r="S48" s="32"/>
      <c r="T48" s="32"/>
      <c r="U48" s="32"/>
      <c r="V48" s="32"/>
      <c r="W48" s="32"/>
      <c r="X48" s="32"/>
      <c r="Y48" s="32"/>
      <c r="Z48" s="32"/>
    </row>
    <row r="49" spans="1:26" x14ac:dyDescent="0.2">
      <c r="A49" s="32"/>
      <c r="G49" s="32"/>
      <c r="H49" s="32"/>
      <c r="I49" s="32"/>
      <c r="J49" s="32"/>
      <c r="K49" s="32"/>
      <c r="L49" s="32"/>
      <c r="M49" s="32"/>
      <c r="N49" s="32"/>
      <c r="O49" s="32"/>
      <c r="P49" s="32"/>
      <c r="Q49" s="32"/>
      <c r="R49" s="32"/>
      <c r="S49" s="32"/>
      <c r="T49" s="32"/>
      <c r="U49" s="32"/>
      <c r="V49" s="32"/>
      <c r="W49" s="32"/>
      <c r="X49" s="32"/>
      <c r="Y49" s="32"/>
      <c r="Z49" s="32"/>
    </row>
    <row r="50" spans="1:26" x14ac:dyDescent="0.2">
      <c r="A50" s="32"/>
      <c r="G50" s="32"/>
      <c r="H50" s="32"/>
      <c r="I50" s="32"/>
      <c r="J50" s="32"/>
      <c r="K50" s="32"/>
      <c r="L50" s="32"/>
      <c r="M50" s="32"/>
      <c r="N50" s="32"/>
      <c r="O50" s="32"/>
      <c r="P50" s="32"/>
      <c r="Q50" s="32"/>
      <c r="R50" s="32"/>
      <c r="S50" s="32"/>
      <c r="T50" s="32"/>
      <c r="U50" s="32"/>
      <c r="V50" s="32"/>
      <c r="W50" s="32"/>
      <c r="X50" s="32"/>
      <c r="Y50" s="32"/>
      <c r="Z50" s="32"/>
    </row>
    <row r="51" spans="1:26" x14ac:dyDescent="0.2">
      <c r="A51" s="32"/>
      <c r="G51" s="32"/>
      <c r="H51" s="32"/>
      <c r="I51" s="32"/>
      <c r="J51" s="32"/>
      <c r="K51" s="32"/>
      <c r="L51" s="32"/>
      <c r="M51" s="32"/>
      <c r="N51" s="32"/>
      <c r="O51" s="32"/>
      <c r="P51" s="32"/>
      <c r="Q51" s="32"/>
      <c r="R51" s="32"/>
      <c r="S51" s="32"/>
      <c r="T51" s="32"/>
      <c r="U51" s="32"/>
      <c r="V51" s="32"/>
      <c r="W51" s="32"/>
      <c r="X51" s="32"/>
      <c r="Y51" s="32"/>
      <c r="Z51" s="32"/>
    </row>
    <row r="52" spans="1:26" x14ac:dyDescent="0.2">
      <c r="A52" s="32"/>
      <c r="G52" s="32"/>
      <c r="H52" s="32"/>
      <c r="I52" s="32"/>
      <c r="J52" s="32"/>
      <c r="K52" s="32"/>
      <c r="L52" s="32"/>
      <c r="M52" s="32"/>
      <c r="N52" s="32"/>
      <c r="O52" s="32"/>
      <c r="P52" s="32"/>
      <c r="Q52" s="32"/>
      <c r="R52" s="32"/>
      <c r="S52" s="32"/>
      <c r="T52" s="32"/>
      <c r="U52" s="32"/>
      <c r="V52" s="32"/>
      <c r="W52" s="32"/>
      <c r="X52" s="32"/>
      <c r="Y52" s="32"/>
      <c r="Z52" s="32"/>
    </row>
    <row r="53" spans="1:26" x14ac:dyDescent="0.2">
      <c r="A53" s="32"/>
      <c r="G53" s="32"/>
      <c r="H53" s="32"/>
      <c r="I53" s="32"/>
      <c r="J53" s="32"/>
      <c r="K53" s="32"/>
      <c r="L53" s="32"/>
      <c r="M53" s="32"/>
      <c r="N53" s="32"/>
      <c r="O53" s="32"/>
      <c r="P53" s="32"/>
      <c r="Q53" s="32"/>
      <c r="R53" s="32"/>
      <c r="S53" s="32"/>
      <c r="T53" s="32"/>
      <c r="U53" s="32"/>
      <c r="V53" s="32"/>
      <c r="W53" s="32"/>
      <c r="X53" s="32"/>
      <c r="Y53" s="32"/>
      <c r="Z53" s="32"/>
    </row>
    <row r="54" spans="1:26" x14ac:dyDescent="0.2">
      <c r="A54" s="32"/>
      <c r="G54" s="32"/>
      <c r="H54" s="32"/>
      <c r="I54" s="32"/>
      <c r="J54" s="32"/>
      <c r="K54" s="32"/>
      <c r="L54" s="32"/>
      <c r="M54" s="32"/>
      <c r="N54" s="32"/>
      <c r="O54" s="32"/>
      <c r="P54" s="32"/>
      <c r="Q54" s="32"/>
      <c r="R54" s="32"/>
      <c r="S54" s="32"/>
      <c r="T54" s="32"/>
      <c r="U54" s="32"/>
      <c r="V54" s="32"/>
      <c r="W54" s="32"/>
      <c r="X54" s="32"/>
      <c r="Y54" s="32"/>
      <c r="Z54" s="32"/>
    </row>
    <row r="55" spans="1:26" x14ac:dyDescent="0.2">
      <c r="A55" s="32"/>
      <c r="G55" s="32"/>
      <c r="H55" s="32"/>
      <c r="I55" s="32"/>
      <c r="J55" s="32"/>
      <c r="K55" s="32"/>
      <c r="L55" s="32"/>
      <c r="M55" s="32"/>
      <c r="N55" s="32"/>
      <c r="O55" s="32"/>
      <c r="P55" s="32"/>
      <c r="Q55" s="32"/>
      <c r="R55" s="32"/>
      <c r="S55" s="32"/>
      <c r="T55" s="32"/>
      <c r="U55" s="32"/>
      <c r="V55" s="32"/>
      <c r="W55" s="32"/>
      <c r="X55" s="32"/>
      <c r="Y55" s="32"/>
      <c r="Z55" s="32"/>
    </row>
    <row r="56" spans="1:26" x14ac:dyDescent="0.2">
      <c r="A56" s="32"/>
      <c r="G56" s="32"/>
      <c r="H56" s="32"/>
      <c r="I56" s="32"/>
      <c r="J56" s="32"/>
      <c r="K56" s="32"/>
      <c r="L56" s="32"/>
      <c r="M56" s="32"/>
      <c r="N56" s="32"/>
      <c r="O56" s="32"/>
      <c r="P56" s="32"/>
      <c r="Q56" s="32"/>
      <c r="R56" s="32"/>
      <c r="S56" s="32"/>
      <c r="T56" s="32"/>
      <c r="U56" s="32"/>
      <c r="V56" s="32"/>
      <c r="W56" s="32"/>
      <c r="X56" s="32"/>
      <c r="Y56" s="32"/>
      <c r="Z56" s="32"/>
    </row>
    <row r="57" spans="1:26" x14ac:dyDescent="0.2">
      <c r="A57" s="32"/>
      <c r="G57" s="32"/>
      <c r="H57" s="32"/>
      <c r="I57" s="32"/>
      <c r="J57" s="32"/>
      <c r="K57" s="32"/>
      <c r="L57" s="32"/>
      <c r="M57" s="32"/>
      <c r="N57" s="32"/>
      <c r="O57" s="32"/>
      <c r="P57" s="32"/>
      <c r="Q57" s="32"/>
      <c r="R57" s="32"/>
      <c r="S57" s="32"/>
      <c r="T57" s="32"/>
      <c r="U57" s="32"/>
      <c r="V57" s="32"/>
      <c r="W57" s="32"/>
      <c r="X57" s="32"/>
      <c r="Y57" s="32"/>
      <c r="Z57" s="32"/>
    </row>
    <row r="58" spans="1:26" x14ac:dyDescent="0.2">
      <c r="A58" s="32"/>
      <c r="G58" s="32"/>
      <c r="H58" s="32"/>
      <c r="I58" s="32"/>
      <c r="J58" s="32"/>
      <c r="K58" s="32"/>
      <c r="L58" s="32"/>
      <c r="M58" s="32"/>
      <c r="N58" s="32"/>
      <c r="O58" s="32"/>
      <c r="P58" s="32"/>
      <c r="Q58" s="32"/>
      <c r="R58" s="32"/>
      <c r="S58" s="32"/>
      <c r="T58" s="32"/>
      <c r="U58" s="32"/>
      <c r="V58" s="32"/>
      <c r="W58" s="32"/>
      <c r="X58" s="32"/>
      <c r="Y58" s="32"/>
      <c r="Z58" s="32"/>
    </row>
    <row r="59" spans="1:26" x14ac:dyDescent="0.2">
      <c r="A59" s="32"/>
      <c r="G59" s="32"/>
      <c r="H59" s="32"/>
      <c r="I59" s="32"/>
      <c r="J59" s="32"/>
      <c r="K59" s="32"/>
      <c r="L59" s="32"/>
      <c r="M59" s="32"/>
      <c r="N59" s="32"/>
      <c r="O59" s="32"/>
      <c r="P59" s="32"/>
      <c r="Q59" s="32"/>
      <c r="R59" s="32"/>
      <c r="S59" s="32"/>
      <c r="T59" s="32"/>
      <c r="U59" s="32"/>
      <c r="V59" s="32"/>
      <c r="W59" s="32"/>
      <c r="X59" s="32"/>
      <c r="Y59" s="32"/>
      <c r="Z59" s="32"/>
    </row>
    <row r="60" spans="1:26" x14ac:dyDescent="0.2">
      <c r="A60" s="32"/>
      <c r="G60" s="32"/>
      <c r="H60" s="32"/>
      <c r="I60" s="32"/>
      <c r="J60" s="32"/>
      <c r="K60" s="32"/>
      <c r="L60" s="32"/>
      <c r="M60" s="32"/>
      <c r="N60" s="32"/>
      <c r="O60" s="32"/>
      <c r="P60" s="32"/>
      <c r="Q60" s="32"/>
      <c r="R60" s="32"/>
      <c r="S60" s="32"/>
      <c r="T60" s="32"/>
      <c r="U60" s="32"/>
      <c r="V60" s="32"/>
      <c r="W60" s="32"/>
      <c r="X60" s="32"/>
      <c r="Y60" s="32"/>
      <c r="Z60" s="32"/>
    </row>
    <row r="61" spans="1:26" x14ac:dyDescent="0.2">
      <c r="A61" s="32"/>
      <c r="G61" s="32"/>
      <c r="H61" s="32"/>
      <c r="I61" s="32"/>
      <c r="J61" s="32"/>
      <c r="K61" s="32"/>
      <c r="L61" s="32"/>
      <c r="M61" s="32"/>
      <c r="N61" s="32"/>
      <c r="O61" s="32"/>
      <c r="P61" s="32"/>
      <c r="Q61" s="32"/>
      <c r="R61" s="32"/>
      <c r="S61" s="32"/>
      <c r="T61" s="32"/>
      <c r="U61" s="32"/>
      <c r="V61" s="32"/>
      <c r="W61" s="32"/>
      <c r="X61" s="32"/>
      <c r="Y61" s="32"/>
      <c r="Z61" s="32"/>
    </row>
    <row r="62" spans="1:26" x14ac:dyDescent="0.2">
      <c r="A62" s="32"/>
      <c r="G62" s="32"/>
      <c r="H62" s="32"/>
      <c r="I62" s="32"/>
      <c r="J62" s="32"/>
      <c r="K62" s="32"/>
      <c r="L62" s="32"/>
      <c r="M62" s="32"/>
      <c r="N62" s="32"/>
      <c r="O62" s="32"/>
      <c r="P62" s="32"/>
      <c r="Q62" s="32"/>
      <c r="R62" s="32"/>
      <c r="S62" s="32"/>
      <c r="T62" s="32"/>
      <c r="U62" s="32"/>
      <c r="V62" s="32"/>
      <c r="W62" s="32"/>
      <c r="X62" s="32"/>
      <c r="Y62" s="32"/>
      <c r="Z62" s="32"/>
    </row>
    <row r="63" spans="1:26" x14ac:dyDescent="0.2">
      <c r="A63" s="32"/>
      <c r="G63" s="32"/>
      <c r="H63" s="32"/>
      <c r="I63" s="32"/>
      <c r="J63" s="32"/>
      <c r="K63" s="32"/>
      <c r="L63" s="32"/>
      <c r="M63" s="32"/>
      <c r="N63" s="32"/>
      <c r="O63" s="32"/>
      <c r="P63" s="32"/>
      <c r="Q63" s="32"/>
      <c r="R63" s="32"/>
      <c r="S63" s="32"/>
      <c r="T63" s="32"/>
      <c r="U63" s="32"/>
      <c r="V63" s="32"/>
      <c r="W63" s="32"/>
      <c r="X63" s="32"/>
      <c r="Y63" s="32"/>
      <c r="Z63" s="32"/>
    </row>
    <row r="64" spans="1:26" x14ac:dyDescent="0.2">
      <c r="A64" s="32"/>
      <c r="G64" s="32"/>
      <c r="H64" s="32"/>
      <c r="I64" s="32"/>
      <c r="J64" s="32"/>
      <c r="K64" s="32"/>
      <c r="L64" s="32"/>
      <c r="M64" s="32"/>
      <c r="N64" s="32"/>
      <c r="O64" s="32"/>
      <c r="P64" s="32"/>
      <c r="Q64" s="32"/>
      <c r="R64" s="32"/>
      <c r="S64" s="32"/>
      <c r="T64" s="32"/>
      <c r="U64" s="32"/>
      <c r="V64" s="32"/>
      <c r="W64" s="32"/>
      <c r="X64" s="32"/>
      <c r="Y64" s="32"/>
      <c r="Z64" s="32"/>
    </row>
    <row r="65" spans="1:26" x14ac:dyDescent="0.2">
      <c r="A65" s="32"/>
      <c r="G65" s="32"/>
      <c r="H65" s="32"/>
      <c r="I65" s="32"/>
      <c r="J65" s="32"/>
      <c r="K65" s="32"/>
      <c r="L65" s="32"/>
      <c r="M65" s="32"/>
      <c r="N65" s="32"/>
      <c r="O65" s="32"/>
      <c r="P65" s="32"/>
      <c r="Q65" s="32"/>
      <c r="R65" s="32"/>
      <c r="S65" s="32"/>
      <c r="T65" s="32"/>
      <c r="U65" s="32"/>
      <c r="V65" s="32"/>
      <c r="W65" s="32"/>
      <c r="X65" s="32"/>
      <c r="Y65" s="32"/>
      <c r="Z65" s="32"/>
    </row>
    <row r="66" spans="1:26" x14ac:dyDescent="0.2">
      <c r="A66" s="32"/>
      <c r="G66" s="32"/>
      <c r="H66" s="32"/>
      <c r="I66" s="32"/>
      <c r="J66" s="32"/>
      <c r="K66" s="32"/>
      <c r="L66" s="32"/>
      <c r="M66" s="32"/>
      <c r="N66" s="32"/>
      <c r="O66" s="32"/>
      <c r="P66" s="32"/>
      <c r="Q66" s="32"/>
      <c r="R66" s="32"/>
      <c r="S66" s="32"/>
      <c r="T66" s="32"/>
      <c r="U66" s="32"/>
      <c r="V66" s="32"/>
      <c r="W66" s="32"/>
      <c r="X66" s="32"/>
      <c r="Y66" s="32"/>
      <c r="Z66" s="32"/>
    </row>
    <row r="67" spans="1:26" x14ac:dyDescent="0.2">
      <c r="A67" s="32"/>
      <c r="G67" s="32"/>
      <c r="H67" s="32"/>
      <c r="I67" s="32"/>
      <c r="J67" s="32"/>
      <c r="K67" s="32"/>
      <c r="L67" s="32"/>
      <c r="M67" s="32"/>
      <c r="N67" s="32"/>
      <c r="O67" s="32"/>
      <c r="P67" s="32"/>
      <c r="Q67" s="32"/>
      <c r="R67" s="32"/>
      <c r="S67" s="32"/>
      <c r="T67" s="32"/>
      <c r="U67" s="32"/>
      <c r="V67" s="32"/>
      <c r="W67" s="32"/>
      <c r="X67" s="32"/>
      <c r="Y67" s="32"/>
      <c r="Z67" s="32"/>
    </row>
    <row r="68" spans="1:26" x14ac:dyDescent="0.2">
      <c r="A68" s="32"/>
      <c r="G68" s="32"/>
      <c r="H68" s="32"/>
      <c r="I68" s="32"/>
      <c r="J68" s="32"/>
      <c r="K68" s="32"/>
      <c r="L68" s="32"/>
      <c r="M68" s="32"/>
      <c r="N68" s="32"/>
      <c r="O68" s="32"/>
      <c r="P68" s="32"/>
      <c r="Q68" s="32"/>
      <c r="R68" s="32"/>
      <c r="S68" s="32"/>
      <c r="T68" s="32"/>
      <c r="U68" s="32"/>
      <c r="V68" s="32"/>
      <c r="W68" s="32"/>
      <c r="X68" s="32"/>
      <c r="Y68" s="32"/>
      <c r="Z68" s="32"/>
    </row>
    <row r="69" spans="1:26" x14ac:dyDescent="0.2">
      <c r="A69" s="32"/>
      <c r="G69" s="32"/>
      <c r="H69" s="32"/>
      <c r="I69" s="32"/>
      <c r="J69" s="32"/>
      <c r="K69" s="32"/>
      <c r="L69" s="32"/>
      <c r="M69" s="32"/>
      <c r="N69" s="32"/>
      <c r="O69" s="32"/>
      <c r="P69" s="32"/>
      <c r="Q69" s="32"/>
      <c r="R69" s="32"/>
      <c r="S69" s="32"/>
      <c r="T69" s="32"/>
      <c r="U69" s="32"/>
      <c r="V69" s="32"/>
      <c r="W69" s="32"/>
      <c r="X69" s="32"/>
      <c r="Y69" s="32"/>
      <c r="Z69" s="32"/>
    </row>
    <row r="70" spans="1:26" x14ac:dyDescent="0.2">
      <c r="A70" s="32"/>
      <c r="G70" s="32"/>
      <c r="H70" s="32"/>
      <c r="I70" s="32"/>
      <c r="J70" s="32"/>
      <c r="K70" s="32"/>
      <c r="L70" s="32"/>
      <c r="M70" s="32"/>
      <c r="N70" s="32"/>
      <c r="O70" s="32"/>
      <c r="P70" s="32"/>
      <c r="Q70" s="32"/>
      <c r="R70" s="32"/>
      <c r="S70" s="32"/>
      <c r="T70" s="32"/>
      <c r="U70" s="32"/>
      <c r="V70" s="32"/>
      <c r="W70" s="32"/>
      <c r="X70" s="32"/>
      <c r="Y70" s="32"/>
      <c r="Z70" s="32"/>
    </row>
    <row r="71" spans="1:26" x14ac:dyDescent="0.2">
      <c r="A71" s="32"/>
      <c r="G71" s="32"/>
      <c r="H71" s="32"/>
      <c r="I71" s="32"/>
      <c r="J71" s="32"/>
      <c r="K71" s="32"/>
      <c r="L71" s="32"/>
      <c r="M71" s="32"/>
      <c r="N71" s="32"/>
      <c r="O71" s="32"/>
      <c r="P71" s="32"/>
      <c r="Q71" s="32"/>
      <c r="R71" s="32"/>
      <c r="S71" s="32"/>
      <c r="T71" s="32"/>
      <c r="U71" s="32"/>
      <c r="V71" s="32"/>
      <c r="W71" s="32"/>
      <c r="X71" s="32"/>
      <c r="Y71" s="32"/>
      <c r="Z71" s="32"/>
    </row>
    <row r="72" spans="1:26" x14ac:dyDescent="0.2">
      <c r="A72" s="32"/>
      <c r="G72" s="32"/>
      <c r="H72" s="32"/>
      <c r="I72" s="32"/>
      <c r="J72" s="32"/>
      <c r="K72" s="32"/>
      <c r="L72" s="32"/>
      <c r="M72" s="32"/>
      <c r="N72" s="32"/>
      <c r="O72" s="32"/>
      <c r="P72" s="32"/>
      <c r="Q72" s="32"/>
      <c r="R72" s="32"/>
      <c r="S72" s="32"/>
      <c r="T72" s="32"/>
      <c r="U72" s="32"/>
      <c r="V72" s="32"/>
      <c r="W72" s="32"/>
      <c r="X72" s="32"/>
      <c r="Y72" s="32"/>
      <c r="Z72" s="32"/>
    </row>
    <row r="73" spans="1:26" x14ac:dyDescent="0.2">
      <c r="A73" s="32"/>
      <c r="G73" s="32"/>
      <c r="H73" s="32"/>
      <c r="I73" s="32"/>
      <c r="J73" s="32"/>
      <c r="K73" s="32"/>
      <c r="L73" s="32"/>
      <c r="M73" s="32"/>
      <c r="N73" s="32"/>
      <c r="O73" s="32"/>
      <c r="P73" s="32"/>
      <c r="Q73" s="32"/>
      <c r="R73" s="32"/>
      <c r="S73" s="32"/>
      <c r="T73" s="32"/>
      <c r="U73" s="32"/>
      <c r="V73" s="32"/>
      <c r="W73" s="32"/>
      <c r="X73" s="32"/>
      <c r="Y73" s="32"/>
      <c r="Z73" s="32"/>
    </row>
    <row r="74" spans="1:26" x14ac:dyDescent="0.2">
      <c r="A74" s="32"/>
      <c r="G74" s="32"/>
      <c r="H74" s="32"/>
      <c r="I74" s="32"/>
      <c r="J74" s="32"/>
      <c r="K74" s="32"/>
      <c r="L74" s="32"/>
      <c r="M74" s="32"/>
      <c r="N74" s="32"/>
      <c r="O74" s="32"/>
      <c r="P74" s="32"/>
      <c r="Q74" s="32"/>
      <c r="R74" s="32"/>
      <c r="S74" s="32"/>
      <c r="T74" s="32"/>
      <c r="U74" s="32"/>
      <c r="V74" s="32"/>
      <c r="W74" s="32"/>
      <c r="X74" s="32"/>
      <c r="Y74" s="32"/>
      <c r="Z74" s="32"/>
    </row>
    <row r="75" spans="1:26" x14ac:dyDescent="0.2">
      <c r="A75" s="32"/>
      <c r="G75" s="32"/>
      <c r="H75" s="32"/>
      <c r="I75" s="32"/>
      <c r="J75" s="32"/>
      <c r="K75" s="32"/>
      <c r="L75" s="32"/>
      <c r="M75" s="32"/>
      <c r="N75" s="32"/>
      <c r="O75" s="32"/>
      <c r="P75" s="32"/>
      <c r="Q75" s="32"/>
      <c r="R75" s="32"/>
      <c r="S75" s="32"/>
      <c r="T75" s="32"/>
      <c r="U75" s="32"/>
      <c r="V75" s="32"/>
      <c r="W75" s="32"/>
      <c r="X75" s="32"/>
      <c r="Y75" s="32"/>
      <c r="Z75" s="32"/>
    </row>
    <row r="76" spans="1:26" x14ac:dyDescent="0.2">
      <c r="A76" s="32"/>
      <c r="G76" s="32"/>
      <c r="H76" s="32"/>
      <c r="I76" s="32"/>
      <c r="J76" s="32"/>
      <c r="K76" s="32"/>
      <c r="L76" s="32"/>
      <c r="M76" s="32"/>
      <c r="N76" s="32"/>
      <c r="O76" s="32"/>
      <c r="P76" s="32"/>
      <c r="Q76" s="32"/>
      <c r="R76" s="32"/>
      <c r="S76" s="32"/>
      <c r="T76" s="32"/>
      <c r="U76" s="32"/>
      <c r="V76" s="32"/>
      <c r="W76" s="32"/>
      <c r="X76" s="32"/>
      <c r="Y76" s="32"/>
      <c r="Z76" s="32"/>
    </row>
    <row r="77" spans="1:26" x14ac:dyDescent="0.2">
      <c r="A77" s="32"/>
      <c r="G77" s="32"/>
      <c r="H77" s="32"/>
      <c r="I77" s="32"/>
      <c r="J77" s="32"/>
      <c r="K77" s="32"/>
      <c r="L77" s="32"/>
      <c r="M77" s="32"/>
      <c r="N77" s="32"/>
      <c r="O77" s="32"/>
      <c r="P77" s="32"/>
      <c r="Q77" s="32"/>
      <c r="R77" s="32"/>
      <c r="S77" s="32"/>
      <c r="T77" s="32"/>
      <c r="U77" s="32"/>
      <c r="V77" s="32"/>
      <c r="W77" s="32"/>
      <c r="X77" s="32"/>
      <c r="Y77" s="32"/>
      <c r="Z77" s="32"/>
    </row>
    <row r="78" spans="1:26" x14ac:dyDescent="0.2">
      <c r="A78" s="32"/>
      <c r="G78" s="32"/>
      <c r="H78" s="32"/>
      <c r="I78" s="32"/>
      <c r="J78" s="32"/>
      <c r="K78" s="32"/>
      <c r="L78" s="32"/>
      <c r="M78" s="32"/>
      <c r="N78" s="32"/>
      <c r="O78" s="32"/>
      <c r="P78" s="32"/>
      <c r="Q78" s="32"/>
      <c r="R78" s="32"/>
      <c r="S78" s="32"/>
      <c r="T78" s="32"/>
      <c r="U78" s="32"/>
      <c r="V78" s="32"/>
      <c r="W78" s="32"/>
      <c r="X78" s="32"/>
      <c r="Y78" s="32"/>
      <c r="Z78" s="32"/>
    </row>
    <row r="79" spans="1:26" x14ac:dyDescent="0.2">
      <c r="A79" s="32"/>
      <c r="G79" s="32"/>
      <c r="H79" s="32"/>
      <c r="I79" s="32"/>
      <c r="J79" s="32"/>
      <c r="K79" s="32"/>
      <c r="L79" s="32"/>
      <c r="M79" s="32"/>
      <c r="N79" s="32"/>
      <c r="O79" s="32"/>
      <c r="P79" s="32"/>
      <c r="Q79" s="32"/>
      <c r="R79" s="32"/>
      <c r="S79" s="32"/>
      <c r="T79" s="32"/>
      <c r="U79" s="32"/>
      <c r="V79" s="32"/>
      <c r="W79" s="32"/>
      <c r="X79" s="32"/>
      <c r="Y79" s="32"/>
      <c r="Z79" s="32"/>
    </row>
    <row r="80" spans="1:26" x14ac:dyDescent="0.2">
      <c r="A80" s="32"/>
      <c r="G80" s="32"/>
      <c r="H80" s="32"/>
      <c r="I80" s="32"/>
      <c r="J80" s="32"/>
      <c r="K80" s="32"/>
      <c r="L80" s="32"/>
      <c r="M80" s="32"/>
      <c r="N80" s="32"/>
      <c r="O80" s="32"/>
      <c r="P80" s="32"/>
      <c r="Q80" s="32"/>
      <c r="R80" s="32"/>
      <c r="S80" s="32"/>
      <c r="T80" s="32"/>
      <c r="U80" s="32"/>
      <c r="V80" s="32"/>
      <c r="W80" s="32"/>
      <c r="X80" s="32"/>
      <c r="Y80" s="32"/>
      <c r="Z80" s="32"/>
    </row>
    <row r="81" spans="1:26" x14ac:dyDescent="0.2">
      <c r="A81" s="32"/>
      <c r="G81" s="32"/>
      <c r="H81" s="32"/>
      <c r="I81" s="32"/>
      <c r="J81" s="32"/>
      <c r="K81" s="32"/>
      <c r="L81" s="32"/>
      <c r="M81" s="32"/>
      <c r="N81" s="32"/>
      <c r="O81" s="32"/>
      <c r="P81" s="32"/>
      <c r="Q81" s="32"/>
      <c r="R81" s="32"/>
      <c r="S81" s="32"/>
      <c r="T81" s="32"/>
      <c r="U81" s="32"/>
      <c r="V81" s="32"/>
      <c r="W81" s="32"/>
      <c r="X81" s="32"/>
      <c r="Y81" s="32"/>
      <c r="Z81" s="32"/>
    </row>
    <row r="82" spans="1:26" x14ac:dyDescent="0.2">
      <c r="A82" s="32"/>
      <c r="G82" s="32"/>
      <c r="H82" s="32"/>
      <c r="I82" s="32"/>
      <c r="J82" s="32"/>
      <c r="K82" s="32"/>
      <c r="L82" s="32"/>
      <c r="M82" s="32"/>
      <c r="N82" s="32"/>
      <c r="O82" s="32"/>
      <c r="P82" s="32"/>
      <c r="Q82" s="32"/>
      <c r="R82" s="32"/>
      <c r="S82" s="32"/>
      <c r="T82" s="32"/>
      <c r="U82" s="32"/>
      <c r="V82" s="32"/>
      <c r="W82" s="32"/>
      <c r="X82" s="32"/>
      <c r="Y82" s="32"/>
      <c r="Z82" s="32"/>
    </row>
    <row r="83" spans="1:26" x14ac:dyDescent="0.2">
      <c r="A83" s="32"/>
      <c r="G83" s="32"/>
      <c r="H83" s="32"/>
      <c r="I83" s="32"/>
      <c r="J83" s="32"/>
      <c r="K83" s="32"/>
      <c r="L83" s="32"/>
      <c r="M83" s="32"/>
      <c r="N83" s="32"/>
      <c r="O83" s="32"/>
      <c r="P83" s="32"/>
      <c r="Q83" s="32"/>
      <c r="R83" s="32"/>
      <c r="S83" s="32"/>
      <c r="T83" s="32"/>
      <c r="U83" s="32"/>
      <c r="V83" s="32"/>
      <c r="W83" s="32"/>
      <c r="X83" s="32"/>
      <c r="Y83" s="32"/>
      <c r="Z83" s="32"/>
    </row>
    <row r="84" spans="1:26" x14ac:dyDescent="0.2">
      <c r="A84" s="32"/>
      <c r="G84" s="32"/>
      <c r="H84" s="32"/>
      <c r="I84" s="32"/>
      <c r="J84" s="32"/>
      <c r="K84" s="32"/>
      <c r="L84" s="32"/>
      <c r="M84" s="32"/>
      <c r="N84" s="32"/>
      <c r="O84" s="32"/>
      <c r="P84" s="32"/>
      <c r="Q84" s="32"/>
      <c r="R84" s="32"/>
      <c r="S84" s="32"/>
      <c r="T84" s="32"/>
      <c r="U84" s="32"/>
      <c r="V84" s="32"/>
      <c r="W84" s="32"/>
      <c r="X84" s="32"/>
      <c r="Y84" s="32"/>
      <c r="Z84" s="32"/>
    </row>
    <row r="85" spans="1:26" x14ac:dyDescent="0.2">
      <c r="A85" s="32"/>
      <c r="G85" s="32"/>
      <c r="H85" s="32"/>
      <c r="I85" s="32"/>
      <c r="J85" s="32"/>
      <c r="K85" s="32"/>
      <c r="L85" s="32"/>
      <c r="M85" s="32"/>
      <c r="N85" s="32"/>
      <c r="O85" s="32"/>
      <c r="P85" s="32"/>
      <c r="Q85" s="32"/>
      <c r="R85" s="32"/>
      <c r="S85" s="32"/>
      <c r="T85" s="32"/>
      <c r="U85" s="32"/>
      <c r="V85" s="32"/>
      <c r="W85" s="32"/>
      <c r="X85" s="32"/>
      <c r="Y85" s="32"/>
      <c r="Z85" s="32"/>
    </row>
    <row r="86" spans="1:26" x14ac:dyDescent="0.2">
      <c r="A86" s="32"/>
      <c r="G86" s="32"/>
      <c r="H86" s="32"/>
      <c r="I86" s="32"/>
      <c r="J86" s="32"/>
      <c r="K86" s="32"/>
      <c r="L86" s="32"/>
      <c r="M86" s="32"/>
      <c r="N86" s="32"/>
      <c r="O86" s="32"/>
      <c r="P86" s="32"/>
      <c r="Q86" s="32"/>
      <c r="R86" s="32"/>
      <c r="S86" s="32"/>
      <c r="T86" s="32"/>
      <c r="U86" s="32"/>
      <c r="V86" s="32"/>
      <c r="W86" s="32"/>
      <c r="X86" s="32"/>
      <c r="Y86" s="32"/>
      <c r="Z86" s="32"/>
    </row>
    <row r="87" spans="1:26" x14ac:dyDescent="0.2">
      <c r="A87" s="32"/>
      <c r="G87" s="32"/>
      <c r="H87" s="32"/>
      <c r="I87" s="32"/>
      <c r="J87" s="32"/>
      <c r="K87" s="32"/>
      <c r="L87" s="32"/>
      <c r="M87" s="32"/>
      <c r="N87" s="32"/>
      <c r="O87" s="32"/>
      <c r="P87" s="32"/>
      <c r="Q87" s="32"/>
      <c r="R87" s="32"/>
      <c r="S87" s="32"/>
      <c r="T87" s="32"/>
      <c r="U87" s="32"/>
      <c r="V87" s="32"/>
      <c r="W87" s="32"/>
      <c r="X87" s="32"/>
      <c r="Y87" s="32"/>
      <c r="Z87" s="32"/>
    </row>
    <row r="88" spans="1:26" x14ac:dyDescent="0.2">
      <c r="A88" s="32"/>
      <c r="G88" s="32"/>
      <c r="H88" s="32"/>
      <c r="I88" s="32"/>
      <c r="J88" s="32"/>
      <c r="K88" s="32"/>
      <c r="L88" s="32"/>
      <c r="M88" s="32"/>
      <c r="N88" s="32"/>
      <c r="O88" s="32"/>
      <c r="P88" s="32"/>
      <c r="Q88" s="32"/>
      <c r="R88" s="32"/>
      <c r="S88" s="32"/>
      <c r="T88" s="32"/>
      <c r="U88" s="32"/>
      <c r="V88" s="32"/>
      <c r="W88" s="32"/>
      <c r="X88" s="32"/>
      <c r="Y88" s="32"/>
      <c r="Z88" s="32"/>
    </row>
    <row r="89" spans="1:26" x14ac:dyDescent="0.2">
      <c r="A89" s="32"/>
      <c r="G89" s="32"/>
      <c r="H89" s="32"/>
      <c r="I89" s="32"/>
      <c r="J89" s="32"/>
      <c r="K89" s="32"/>
      <c r="L89" s="32"/>
      <c r="M89" s="32"/>
      <c r="N89" s="32"/>
      <c r="O89" s="32"/>
      <c r="P89" s="32"/>
      <c r="Q89" s="32"/>
      <c r="R89" s="32"/>
      <c r="S89" s="32"/>
      <c r="T89" s="32"/>
      <c r="U89" s="32"/>
      <c r="V89" s="32"/>
      <c r="W89" s="32"/>
      <c r="X89" s="32"/>
      <c r="Y89" s="32"/>
      <c r="Z89" s="32"/>
    </row>
    <row r="90" spans="1:26" x14ac:dyDescent="0.2">
      <c r="A90" s="32"/>
      <c r="G90" s="32"/>
      <c r="H90" s="32"/>
      <c r="I90" s="32"/>
      <c r="J90" s="32"/>
      <c r="K90" s="32"/>
      <c r="L90" s="32"/>
      <c r="M90" s="32"/>
      <c r="N90" s="32"/>
      <c r="O90" s="32"/>
      <c r="P90" s="32"/>
      <c r="Q90" s="32"/>
      <c r="R90" s="32"/>
      <c r="S90" s="32"/>
      <c r="T90" s="32"/>
      <c r="U90" s="32"/>
      <c r="V90" s="32"/>
      <c r="W90" s="32"/>
      <c r="X90" s="32"/>
      <c r="Y90" s="32"/>
      <c r="Z90" s="32"/>
    </row>
    <row r="91" spans="1:26" x14ac:dyDescent="0.2">
      <c r="A91" s="32"/>
      <c r="G91" s="32"/>
      <c r="H91" s="32"/>
      <c r="I91" s="32"/>
      <c r="J91" s="32"/>
      <c r="K91" s="32"/>
      <c r="L91" s="32"/>
      <c r="M91" s="32"/>
      <c r="N91" s="32"/>
      <c r="O91" s="32"/>
      <c r="P91" s="32"/>
      <c r="Q91" s="32"/>
      <c r="R91" s="32"/>
      <c r="S91" s="32"/>
      <c r="T91" s="32"/>
      <c r="U91" s="32"/>
      <c r="V91" s="32"/>
      <c r="W91" s="32"/>
      <c r="X91" s="32"/>
      <c r="Y91" s="32"/>
      <c r="Z91" s="32"/>
    </row>
    <row r="92" spans="1:26" x14ac:dyDescent="0.2">
      <c r="A92" s="32"/>
      <c r="G92" s="32"/>
      <c r="H92" s="32"/>
      <c r="I92" s="32"/>
      <c r="J92" s="32"/>
      <c r="K92" s="32"/>
      <c r="L92" s="32"/>
      <c r="M92" s="32"/>
      <c r="N92" s="32"/>
      <c r="O92" s="32"/>
      <c r="P92" s="32"/>
      <c r="Q92" s="32"/>
      <c r="R92" s="32"/>
      <c r="S92" s="32"/>
      <c r="T92" s="32"/>
      <c r="U92" s="32"/>
      <c r="V92" s="32"/>
      <c r="W92" s="32"/>
      <c r="X92" s="32"/>
      <c r="Y92" s="32"/>
      <c r="Z92" s="32"/>
    </row>
    <row r="93" spans="1:26" x14ac:dyDescent="0.2">
      <c r="A93" s="32"/>
      <c r="G93" s="32"/>
      <c r="H93" s="32"/>
      <c r="I93" s="32"/>
      <c r="J93" s="32"/>
      <c r="K93" s="32"/>
      <c r="L93" s="32"/>
      <c r="M93" s="32"/>
      <c r="N93" s="32"/>
      <c r="O93" s="32"/>
      <c r="P93" s="32"/>
      <c r="Q93" s="32"/>
      <c r="R93" s="32"/>
      <c r="S93" s="32"/>
      <c r="T93" s="32"/>
      <c r="U93" s="32"/>
      <c r="V93" s="32"/>
      <c r="W93" s="32"/>
      <c r="X93" s="32"/>
      <c r="Y93" s="32"/>
      <c r="Z93" s="32"/>
    </row>
    <row r="94" spans="1:26" x14ac:dyDescent="0.2">
      <c r="A94" s="32"/>
      <c r="G94" s="32"/>
      <c r="H94" s="32"/>
      <c r="I94" s="32"/>
      <c r="J94" s="32"/>
      <c r="K94" s="32"/>
      <c r="L94" s="32"/>
      <c r="M94" s="32"/>
      <c r="N94" s="32"/>
      <c r="O94" s="32"/>
      <c r="P94" s="32"/>
      <c r="Q94" s="32"/>
      <c r="R94" s="32"/>
      <c r="S94" s="32"/>
      <c r="T94" s="32"/>
      <c r="U94" s="32"/>
      <c r="V94" s="32"/>
      <c r="W94" s="32"/>
      <c r="X94" s="32"/>
      <c r="Y94" s="32"/>
      <c r="Z94" s="32"/>
    </row>
    <row r="95" spans="1:26" x14ac:dyDescent="0.2">
      <c r="A95" s="32"/>
      <c r="G95" s="32"/>
      <c r="H95" s="32"/>
      <c r="I95" s="32"/>
      <c r="J95" s="32"/>
      <c r="K95" s="32"/>
      <c r="L95" s="32"/>
      <c r="M95" s="32"/>
      <c r="N95" s="32"/>
      <c r="O95" s="32"/>
      <c r="P95" s="32"/>
      <c r="Q95" s="32"/>
      <c r="R95" s="32"/>
      <c r="S95" s="32"/>
      <c r="T95" s="32"/>
      <c r="U95" s="32"/>
      <c r="V95" s="32"/>
      <c r="W95" s="32"/>
      <c r="X95" s="32"/>
      <c r="Y95" s="32"/>
      <c r="Z95" s="32"/>
    </row>
    <row r="96" spans="1:26" x14ac:dyDescent="0.2">
      <c r="A96" s="32"/>
      <c r="G96" s="32"/>
      <c r="H96" s="32"/>
      <c r="I96" s="32"/>
      <c r="J96" s="32"/>
      <c r="K96" s="32"/>
      <c r="L96" s="32"/>
      <c r="M96" s="32"/>
      <c r="N96" s="32"/>
      <c r="O96" s="32"/>
      <c r="P96" s="32"/>
      <c r="Q96" s="32"/>
      <c r="R96" s="32"/>
      <c r="S96" s="32"/>
      <c r="T96" s="32"/>
      <c r="U96" s="32"/>
      <c r="V96" s="32"/>
      <c r="W96" s="32"/>
      <c r="X96" s="32"/>
      <c r="Y96" s="32"/>
      <c r="Z96" s="32"/>
    </row>
    <row r="97" spans="1:26" x14ac:dyDescent="0.2">
      <c r="A97" s="32"/>
      <c r="G97" s="32"/>
      <c r="H97" s="32"/>
      <c r="I97" s="32"/>
      <c r="J97" s="32"/>
      <c r="K97" s="32"/>
      <c r="L97" s="32"/>
      <c r="M97" s="32"/>
      <c r="N97" s="32"/>
      <c r="O97" s="32"/>
      <c r="P97" s="32"/>
      <c r="Q97" s="32"/>
      <c r="R97" s="32"/>
      <c r="S97" s="32"/>
      <c r="T97" s="32"/>
      <c r="U97" s="32"/>
      <c r="V97" s="32"/>
      <c r="W97" s="32"/>
      <c r="X97" s="32"/>
      <c r="Y97" s="32"/>
      <c r="Z97" s="32"/>
    </row>
    <row r="98" spans="1:26" x14ac:dyDescent="0.2">
      <c r="A98" s="32"/>
      <c r="G98" s="32"/>
      <c r="H98" s="32"/>
      <c r="I98" s="32"/>
      <c r="J98" s="32"/>
      <c r="K98" s="32"/>
      <c r="L98" s="32"/>
      <c r="M98" s="32"/>
      <c r="N98" s="32"/>
      <c r="O98" s="32"/>
      <c r="P98" s="32"/>
      <c r="Q98" s="32"/>
      <c r="R98" s="32"/>
      <c r="S98" s="32"/>
      <c r="T98" s="32"/>
      <c r="U98" s="32"/>
      <c r="V98" s="32"/>
      <c r="W98" s="32"/>
      <c r="X98" s="32"/>
      <c r="Y98" s="32"/>
      <c r="Z98" s="32"/>
    </row>
    <row r="99" spans="1:26" x14ac:dyDescent="0.2">
      <c r="A99" s="32"/>
      <c r="G99" s="32"/>
      <c r="H99" s="32"/>
      <c r="I99" s="32"/>
      <c r="J99" s="32"/>
      <c r="K99" s="32"/>
      <c r="L99" s="32"/>
      <c r="M99" s="32"/>
      <c r="N99" s="32"/>
      <c r="O99" s="32"/>
      <c r="P99" s="32"/>
      <c r="Q99" s="32"/>
      <c r="R99" s="32"/>
      <c r="S99" s="32"/>
      <c r="T99" s="32"/>
      <c r="U99" s="32"/>
      <c r="V99" s="32"/>
      <c r="W99" s="32"/>
      <c r="X99" s="32"/>
      <c r="Y99" s="32"/>
      <c r="Z99" s="32"/>
    </row>
    <row r="100" spans="1:26" x14ac:dyDescent="0.2">
      <c r="A100" s="32"/>
      <c r="G100" s="32"/>
      <c r="H100" s="32"/>
      <c r="I100" s="32"/>
      <c r="J100" s="32"/>
      <c r="K100" s="32"/>
      <c r="L100" s="32"/>
      <c r="M100" s="32"/>
      <c r="N100" s="32"/>
      <c r="O100" s="32"/>
      <c r="P100" s="32"/>
      <c r="Q100" s="32"/>
      <c r="R100" s="32"/>
      <c r="S100" s="32"/>
      <c r="T100" s="32"/>
      <c r="U100" s="32"/>
      <c r="V100" s="32"/>
      <c r="W100" s="32"/>
      <c r="X100" s="32"/>
      <c r="Y100" s="32"/>
      <c r="Z100" s="32"/>
    </row>
    <row r="101" spans="1:26" x14ac:dyDescent="0.2">
      <c r="A101" s="32"/>
      <c r="G101" s="32"/>
      <c r="H101" s="32"/>
      <c r="I101" s="32"/>
      <c r="J101" s="32"/>
      <c r="K101" s="32"/>
      <c r="L101" s="32"/>
      <c r="M101" s="32"/>
      <c r="N101" s="32"/>
      <c r="O101" s="32"/>
      <c r="P101" s="32"/>
      <c r="Q101" s="32"/>
      <c r="R101" s="32"/>
      <c r="S101" s="32"/>
      <c r="T101" s="32"/>
      <c r="U101" s="32"/>
      <c r="V101" s="32"/>
      <c r="W101" s="32"/>
      <c r="X101" s="32"/>
      <c r="Y101" s="32"/>
      <c r="Z101" s="32"/>
    </row>
    <row r="102" spans="1:26" x14ac:dyDescent="0.2">
      <c r="A102" s="32"/>
      <c r="G102" s="32"/>
      <c r="H102" s="32"/>
      <c r="I102" s="32"/>
      <c r="J102" s="32"/>
      <c r="K102" s="32"/>
      <c r="L102" s="32"/>
      <c r="M102" s="32"/>
      <c r="N102" s="32"/>
      <c r="O102" s="32"/>
      <c r="P102" s="32"/>
      <c r="Q102" s="32"/>
      <c r="R102" s="32"/>
      <c r="S102" s="32"/>
      <c r="T102" s="32"/>
      <c r="U102" s="32"/>
      <c r="V102" s="32"/>
      <c r="W102" s="32"/>
      <c r="X102" s="32"/>
      <c r="Y102" s="32"/>
      <c r="Z102" s="32"/>
    </row>
    <row r="103" spans="1:26" x14ac:dyDescent="0.2">
      <c r="A103" s="32"/>
      <c r="G103" s="32"/>
      <c r="H103" s="32"/>
      <c r="I103" s="32"/>
      <c r="J103" s="32"/>
      <c r="K103" s="32"/>
      <c r="L103" s="32"/>
      <c r="M103" s="32"/>
      <c r="N103" s="32"/>
      <c r="O103" s="32"/>
      <c r="P103" s="32"/>
      <c r="Q103" s="32"/>
      <c r="R103" s="32"/>
      <c r="S103" s="32"/>
      <c r="T103" s="32"/>
      <c r="U103" s="32"/>
      <c r="V103" s="32"/>
      <c r="W103" s="32"/>
      <c r="X103" s="32"/>
      <c r="Y103" s="32"/>
      <c r="Z103" s="32"/>
    </row>
    <row r="104" spans="1:26" x14ac:dyDescent="0.2">
      <c r="A104" s="32"/>
      <c r="G104" s="32"/>
      <c r="H104" s="32"/>
      <c r="I104" s="32"/>
      <c r="J104" s="32"/>
      <c r="K104" s="32"/>
      <c r="L104" s="32"/>
      <c r="M104" s="32"/>
      <c r="N104" s="32"/>
      <c r="O104" s="32"/>
      <c r="P104" s="32"/>
      <c r="Q104" s="32"/>
      <c r="R104" s="32"/>
      <c r="S104" s="32"/>
      <c r="T104" s="32"/>
      <c r="U104" s="32"/>
      <c r="V104" s="32"/>
      <c r="W104" s="32"/>
      <c r="X104" s="32"/>
      <c r="Y104" s="32"/>
      <c r="Z104" s="32"/>
    </row>
    <row r="105" spans="1:26" x14ac:dyDescent="0.2">
      <c r="A105" s="32"/>
      <c r="G105" s="32"/>
      <c r="H105" s="32"/>
      <c r="I105" s="32"/>
      <c r="J105" s="32"/>
      <c r="K105" s="32"/>
      <c r="L105" s="32"/>
      <c r="M105" s="32"/>
      <c r="N105" s="32"/>
      <c r="O105" s="32"/>
      <c r="P105" s="32"/>
      <c r="Q105" s="32"/>
      <c r="R105" s="32"/>
      <c r="S105" s="32"/>
      <c r="T105" s="32"/>
      <c r="U105" s="32"/>
      <c r="V105" s="32"/>
      <c r="W105" s="32"/>
      <c r="X105" s="32"/>
      <c r="Y105" s="32"/>
      <c r="Z105" s="32"/>
    </row>
    <row r="106" spans="1:26" x14ac:dyDescent="0.2">
      <c r="A106" s="32"/>
      <c r="G106" s="32"/>
      <c r="H106" s="32"/>
      <c r="I106" s="32"/>
      <c r="J106" s="32"/>
      <c r="K106" s="32"/>
      <c r="L106" s="32"/>
      <c r="M106" s="32"/>
      <c r="N106" s="32"/>
      <c r="O106" s="32"/>
      <c r="P106" s="32"/>
      <c r="Q106" s="32"/>
      <c r="R106" s="32"/>
      <c r="S106" s="32"/>
      <c r="T106" s="32"/>
      <c r="U106" s="32"/>
      <c r="V106" s="32"/>
      <c r="W106" s="32"/>
      <c r="X106" s="32"/>
      <c r="Y106" s="32"/>
      <c r="Z106" s="32"/>
    </row>
    <row r="107" spans="1:26" x14ac:dyDescent="0.2">
      <c r="A107" s="32"/>
      <c r="G107" s="32"/>
      <c r="H107" s="32"/>
      <c r="I107" s="32"/>
      <c r="J107" s="32"/>
      <c r="K107" s="32"/>
      <c r="L107" s="32"/>
      <c r="M107" s="32"/>
      <c r="N107" s="32"/>
      <c r="O107" s="32"/>
      <c r="P107" s="32"/>
      <c r="Q107" s="32"/>
      <c r="R107" s="32"/>
      <c r="S107" s="32"/>
      <c r="T107" s="32"/>
      <c r="U107" s="32"/>
      <c r="V107" s="32"/>
      <c r="W107" s="32"/>
      <c r="X107" s="32"/>
      <c r="Y107" s="32"/>
      <c r="Z107" s="32"/>
    </row>
    <row r="108" spans="1:26" x14ac:dyDescent="0.2">
      <c r="A108" s="32"/>
      <c r="G108" s="32"/>
      <c r="H108" s="32"/>
      <c r="I108" s="32"/>
      <c r="J108" s="32"/>
      <c r="K108" s="32"/>
      <c r="L108" s="32"/>
      <c r="M108" s="32"/>
      <c r="N108" s="32"/>
      <c r="O108" s="32"/>
      <c r="P108" s="32"/>
      <c r="Q108" s="32"/>
      <c r="R108" s="32"/>
      <c r="S108" s="32"/>
      <c r="T108" s="32"/>
      <c r="U108" s="32"/>
      <c r="V108" s="32"/>
      <c r="W108" s="32"/>
      <c r="X108" s="32"/>
      <c r="Y108" s="32"/>
      <c r="Z108" s="32"/>
    </row>
    <row r="109" spans="1:26" x14ac:dyDescent="0.2">
      <c r="A109" s="32"/>
      <c r="G109" s="32"/>
      <c r="H109" s="32"/>
      <c r="I109" s="32"/>
      <c r="J109" s="32"/>
      <c r="K109" s="32"/>
      <c r="L109" s="32"/>
      <c r="M109" s="32"/>
      <c r="N109" s="32"/>
      <c r="O109" s="32"/>
      <c r="P109" s="32"/>
      <c r="Q109" s="32"/>
      <c r="R109" s="32"/>
      <c r="S109" s="32"/>
      <c r="T109" s="32"/>
      <c r="U109" s="32"/>
      <c r="V109" s="32"/>
      <c r="W109" s="32"/>
      <c r="X109" s="32"/>
      <c r="Y109" s="32"/>
      <c r="Z109" s="32"/>
    </row>
    <row r="110" spans="1:26" x14ac:dyDescent="0.2">
      <c r="A110" s="32"/>
      <c r="G110" s="32"/>
      <c r="H110" s="32"/>
      <c r="I110" s="32"/>
      <c r="J110" s="32"/>
      <c r="K110" s="32"/>
      <c r="L110" s="32"/>
      <c r="M110" s="32"/>
      <c r="N110" s="32"/>
      <c r="O110" s="32"/>
      <c r="P110" s="32"/>
      <c r="Q110" s="32"/>
      <c r="R110" s="32"/>
      <c r="S110" s="32"/>
      <c r="T110" s="32"/>
      <c r="U110" s="32"/>
      <c r="V110" s="32"/>
      <c r="W110" s="32"/>
      <c r="X110" s="32"/>
      <c r="Y110" s="32"/>
      <c r="Z110" s="32"/>
    </row>
    <row r="111" spans="1:26" x14ac:dyDescent="0.2">
      <c r="A111" s="32"/>
      <c r="G111" s="32"/>
      <c r="H111" s="32"/>
      <c r="I111" s="32"/>
      <c r="J111" s="32"/>
      <c r="K111" s="32"/>
      <c r="L111" s="32"/>
      <c r="M111" s="32"/>
      <c r="N111" s="32"/>
      <c r="O111" s="32"/>
      <c r="P111" s="32"/>
      <c r="Q111" s="32"/>
      <c r="R111" s="32"/>
      <c r="S111" s="32"/>
      <c r="T111" s="32"/>
      <c r="U111" s="32"/>
      <c r="V111" s="32"/>
      <c r="W111" s="32"/>
      <c r="X111" s="32"/>
      <c r="Y111" s="32"/>
      <c r="Z111" s="32"/>
    </row>
    <row r="112" spans="1:26" x14ac:dyDescent="0.2">
      <c r="A112" s="32"/>
      <c r="G112" s="32"/>
      <c r="H112" s="32"/>
      <c r="I112" s="32"/>
      <c r="J112" s="32"/>
      <c r="K112" s="32"/>
      <c r="L112" s="32"/>
      <c r="M112" s="32"/>
      <c r="N112" s="32"/>
      <c r="O112" s="32"/>
      <c r="P112" s="32"/>
      <c r="Q112" s="32"/>
      <c r="R112" s="32"/>
      <c r="S112" s="32"/>
      <c r="T112" s="32"/>
      <c r="U112" s="32"/>
      <c r="V112" s="32"/>
      <c r="W112" s="32"/>
      <c r="X112" s="32"/>
      <c r="Y112" s="32"/>
      <c r="Z112" s="32"/>
    </row>
    <row r="113" spans="1:26" x14ac:dyDescent="0.2">
      <c r="A113" s="32"/>
      <c r="G113" s="32"/>
      <c r="H113" s="32"/>
      <c r="I113" s="32"/>
      <c r="J113" s="32"/>
      <c r="K113" s="32"/>
      <c r="L113" s="32"/>
      <c r="M113" s="32"/>
      <c r="N113" s="32"/>
      <c r="O113" s="32"/>
      <c r="P113" s="32"/>
      <c r="Q113" s="32"/>
      <c r="R113" s="32"/>
      <c r="S113" s="32"/>
      <c r="T113" s="32"/>
      <c r="U113" s="32"/>
      <c r="V113" s="32"/>
      <c r="W113" s="32"/>
      <c r="X113" s="32"/>
      <c r="Y113" s="32"/>
      <c r="Z113" s="32"/>
    </row>
    <row r="114" spans="1:26" x14ac:dyDescent="0.2">
      <c r="A114" s="32"/>
      <c r="G114" s="32"/>
      <c r="H114" s="32"/>
      <c r="I114" s="32"/>
      <c r="J114" s="32"/>
      <c r="K114" s="32"/>
      <c r="L114" s="32"/>
      <c r="M114" s="32"/>
      <c r="N114" s="32"/>
      <c r="O114" s="32"/>
      <c r="P114" s="32"/>
      <c r="Q114" s="32"/>
      <c r="R114" s="32"/>
      <c r="S114" s="32"/>
      <c r="T114" s="32"/>
      <c r="U114" s="32"/>
      <c r="V114" s="32"/>
      <c r="W114" s="32"/>
      <c r="X114" s="32"/>
      <c r="Y114" s="32"/>
      <c r="Z114" s="32"/>
    </row>
    <row r="115" spans="1:26" x14ac:dyDescent="0.2">
      <c r="A115" s="32"/>
      <c r="G115" s="32"/>
      <c r="H115" s="32"/>
      <c r="I115" s="32"/>
      <c r="J115" s="32"/>
      <c r="K115" s="32"/>
      <c r="L115" s="32"/>
      <c r="M115" s="32"/>
      <c r="N115" s="32"/>
      <c r="O115" s="32"/>
      <c r="P115" s="32"/>
      <c r="Q115" s="32"/>
      <c r="R115" s="32"/>
      <c r="S115" s="32"/>
      <c r="T115" s="32"/>
      <c r="U115" s="32"/>
      <c r="V115" s="32"/>
      <c r="W115" s="32"/>
      <c r="X115" s="32"/>
      <c r="Y115" s="32"/>
      <c r="Z115" s="32"/>
    </row>
    <row r="116" spans="1:26" x14ac:dyDescent="0.2">
      <c r="A116" s="32"/>
      <c r="G116" s="32"/>
      <c r="H116" s="32"/>
      <c r="I116" s="32"/>
      <c r="J116" s="32"/>
      <c r="K116" s="32"/>
      <c r="L116" s="32"/>
      <c r="M116" s="32"/>
      <c r="N116" s="32"/>
      <c r="O116" s="32"/>
      <c r="P116" s="32"/>
      <c r="Q116" s="32"/>
      <c r="R116" s="32"/>
      <c r="S116" s="32"/>
      <c r="T116" s="32"/>
      <c r="U116" s="32"/>
      <c r="V116" s="32"/>
      <c r="W116" s="32"/>
      <c r="X116" s="32"/>
      <c r="Y116" s="32"/>
      <c r="Z116" s="32"/>
    </row>
    <row r="117" spans="1:26" x14ac:dyDescent="0.2">
      <c r="A117" s="32"/>
      <c r="G117" s="32"/>
      <c r="H117" s="32"/>
      <c r="I117" s="32"/>
      <c r="J117" s="32"/>
      <c r="K117" s="32"/>
      <c r="L117" s="32"/>
      <c r="M117" s="32"/>
      <c r="N117" s="32"/>
      <c r="O117" s="32"/>
      <c r="P117" s="32"/>
      <c r="Q117" s="32"/>
      <c r="R117" s="32"/>
      <c r="S117" s="32"/>
      <c r="T117" s="32"/>
      <c r="U117" s="32"/>
      <c r="V117" s="32"/>
      <c r="W117" s="32"/>
      <c r="X117" s="32"/>
      <c r="Y117" s="32"/>
      <c r="Z117" s="32"/>
    </row>
    <row r="118" spans="1:26" x14ac:dyDescent="0.2">
      <c r="A118" s="32"/>
      <c r="G118" s="32"/>
      <c r="H118" s="32"/>
      <c r="I118" s="32"/>
      <c r="J118" s="32"/>
      <c r="K118" s="32"/>
      <c r="L118" s="32"/>
      <c r="M118" s="32"/>
      <c r="N118" s="32"/>
      <c r="O118" s="32"/>
      <c r="P118" s="32"/>
      <c r="Q118" s="32"/>
      <c r="R118" s="32"/>
      <c r="S118" s="32"/>
      <c r="T118" s="32"/>
      <c r="U118" s="32"/>
      <c r="V118" s="32"/>
      <c r="W118" s="32"/>
      <c r="X118" s="32"/>
      <c r="Y118" s="32"/>
      <c r="Z118" s="32"/>
    </row>
    <row r="119" spans="1:26" x14ac:dyDescent="0.2">
      <c r="A119" s="32"/>
      <c r="G119" s="32"/>
      <c r="H119" s="32"/>
      <c r="I119" s="32"/>
      <c r="J119" s="32"/>
      <c r="K119" s="32"/>
      <c r="L119" s="32"/>
      <c r="M119" s="32"/>
      <c r="N119" s="32"/>
      <c r="O119" s="32"/>
      <c r="P119" s="32"/>
      <c r="Q119" s="32"/>
      <c r="R119" s="32"/>
      <c r="S119" s="32"/>
      <c r="T119" s="32"/>
      <c r="U119" s="32"/>
      <c r="V119" s="32"/>
      <c r="W119" s="32"/>
      <c r="X119" s="32"/>
      <c r="Y119" s="32"/>
      <c r="Z119" s="32"/>
    </row>
    <row r="120" spans="1:26" x14ac:dyDescent="0.2">
      <c r="A120" s="32"/>
      <c r="G120" s="32"/>
      <c r="H120" s="32"/>
      <c r="I120" s="32"/>
      <c r="J120" s="32"/>
      <c r="K120" s="32"/>
      <c r="L120" s="32"/>
      <c r="M120" s="32"/>
      <c r="N120" s="32"/>
      <c r="O120" s="32"/>
      <c r="P120" s="32"/>
      <c r="Q120" s="32"/>
      <c r="R120" s="32"/>
      <c r="S120" s="32"/>
      <c r="T120" s="32"/>
      <c r="U120" s="32"/>
      <c r="V120" s="32"/>
      <c r="W120" s="32"/>
      <c r="X120" s="32"/>
      <c r="Y120" s="32"/>
      <c r="Z120" s="32"/>
    </row>
    <row r="121" spans="1:26" x14ac:dyDescent="0.2">
      <c r="A121" s="32"/>
      <c r="G121" s="32"/>
      <c r="H121" s="32"/>
      <c r="I121" s="32"/>
      <c r="J121" s="32"/>
      <c r="K121" s="32"/>
      <c r="L121" s="32"/>
      <c r="M121" s="32"/>
      <c r="N121" s="32"/>
      <c r="O121" s="32"/>
      <c r="P121" s="32"/>
      <c r="Q121" s="32"/>
      <c r="R121" s="32"/>
      <c r="S121" s="32"/>
      <c r="T121" s="32"/>
      <c r="U121" s="32"/>
      <c r="V121" s="32"/>
      <c r="W121" s="32"/>
      <c r="X121" s="32"/>
      <c r="Y121" s="32"/>
      <c r="Z121" s="32"/>
    </row>
    <row r="122" spans="1:26" x14ac:dyDescent="0.2">
      <c r="A122" s="32"/>
      <c r="G122" s="32"/>
      <c r="H122" s="32"/>
      <c r="I122" s="32"/>
      <c r="J122" s="32"/>
      <c r="K122" s="32"/>
      <c r="L122" s="32"/>
      <c r="M122" s="32"/>
      <c r="N122" s="32"/>
      <c r="O122" s="32"/>
      <c r="P122" s="32"/>
      <c r="Q122" s="32"/>
      <c r="R122" s="32"/>
      <c r="S122" s="32"/>
      <c r="T122" s="32"/>
      <c r="U122" s="32"/>
      <c r="V122" s="32"/>
      <c r="W122" s="32"/>
      <c r="X122" s="32"/>
      <c r="Y122" s="32"/>
      <c r="Z122" s="32"/>
    </row>
    <row r="123" spans="1:26" x14ac:dyDescent="0.2">
      <c r="A123" s="32"/>
      <c r="G123" s="32"/>
      <c r="H123" s="32"/>
      <c r="I123" s="32"/>
      <c r="J123" s="32"/>
      <c r="K123" s="32"/>
      <c r="L123" s="32"/>
      <c r="M123" s="32"/>
      <c r="N123" s="32"/>
      <c r="O123" s="32"/>
      <c r="P123" s="32"/>
      <c r="Q123" s="32"/>
      <c r="R123" s="32"/>
      <c r="S123" s="32"/>
      <c r="T123" s="32"/>
      <c r="U123" s="32"/>
      <c r="V123" s="32"/>
      <c r="W123" s="32"/>
      <c r="X123" s="32"/>
      <c r="Y123" s="32"/>
      <c r="Z123" s="32"/>
    </row>
    <row r="124" spans="1:26" x14ac:dyDescent="0.2">
      <c r="A124" s="32"/>
      <c r="G124" s="32"/>
      <c r="H124" s="32"/>
      <c r="I124" s="32"/>
      <c r="J124" s="32"/>
      <c r="K124" s="32"/>
      <c r="L124" s="32"/>
      <c r="M124" s="32"/>
      <c r="N124" s="32"/>
      <c r="O124" s="32"/>
      <c r="P124" s="32"/>
      <c r="Q124" s="32"/>
      <c r="R124" s="32"/>
      <c r="S124" s="32"/>
      <c r="T124" s="32"/>
      <c r="U124" s="32"/>
      <c r="V124" s="32"/>
      <c r="W124" s="32"/>
      <c r="X124" s="32"/>
      <c r="Y124" s="32"/>
      <c r="Z124" s="32"/>
    </row>
    <row r="125" spans="1:26" x14ac:dyDescent="0.2">
      <c r="A125" s="32"/>
      <c r="G125" s="32"/>
      <c r="H125" s="32"/>
      <c r="I125" s="32"/>
      <c r="J125" s="32"/>
      <c r="K125" s="32"/>
      <c r="L125" s="32"/>
      <c r="M125" s="32"/>
      <c r="N125" s="32"/>
      <c r="O125" s="32"/>
      <c r="P125" s="32"/>
      <c r="Q125" s="32"/>
      <c r="R125" s="32"/>
      <c r="S125" s="32"/>
      <c r="T125" s="32"/>
      <c r="U125" s="32"/>
      <c r="V125" s="32"/>
      <c r="W125" s="32"/>
      <c r="X125" s="32"/>
      <c r="Y125" s="32"/>
      <c r="Z125" s="32"/>
    </row>
    <row r="126" spans="1:26" x14ac:dyDescent="0.2">
      <c r="A126" s="32"/>
      <c r="G126" s="32"/>
      <c r="H126" s="32"/>
      <c r="I126" s="32"/>
      <c r="J126" s="32"/>
      <c r="K126" s="32"/>
      <c r="L126" s="32"/>
      <c r="M126" s="32"/>
      <c r="N126" s="32"/>
      <c r="O126" s="32"/>
      <c r="P126" s="32"/>
      <c r="Q126" s="32"/>
      <c r="R126" s="32"/>
      <c r="S126" s="32"/>
      <c r="T126" s="32"/>
      <c r="U126" s="32"/>
      <c r="V126" s="32"/>
      <c r="W126" s="32"/>
      <c r="X126" s="32"/>
      <c r="Y126" s="32"/>
      <c r="Z126" s="32"/>
    </row>
    <row r="127" spans="1:26" x14ac:dyDescent="0.2">
      <c r="A127" s="32"/>
      <c r="G127" s="32"/>
      <c r="H127" s="32"/>
      <c r="I127" s="32"/>
      <c r="J127" s="32"/>
      <c r="K127" s="32"/>
      <c r="L127" s="32"/>
      <c r="M127" s="32"/>
      <c r="N127" s="32"/>
      <c r="O127" s="32"/>
      <c r="P127" s="32"/>
      <c r="Q127" s="32"/>
      <c r="R127" s="32"/>
      <c r="S127" s="32"/>
      <c r="T127" s="32"/>
      <c r="U127" s="32"/>
      <c r="V127" s="32"/>
      <c r="W127" s="32"/>
      <c r="X127" s="32"/>
      <c r="Y127" s="32"/>
      <c r="Z127" s="32"/>
    </row>
    <row r="128" spans="1:26" x14ac:dyDescent="0.2">
      <c r="A128" s="32"/>
      <c r="G128" s="32"/>
      <c r="H128" s="32"/>
      <c r="I128" s="32"/>
      <c r="J128" s="32"/>
      <c r="K128" s="32"/>
      <c r="L128" s="32"/>
      <c r="M128" s="32"/>
      <c r="N128" s="32"/>
      <c r="O128" s="32"/>
      <c r="P128" s="32"/>
      <c r="Q128" s="32"/>
      <c r="R128" s="32"/>
      <c r="S128" s="32"/>
      <c r="T128" s="32"/>
      <c r="U128" s="32"/>
      <c r="V128" s="32"/>
      <c r="W128" s="32"/>
      <c r="X128" s="32"/>
      <c r="Y128" s="32"/>
      <c r="Z128" s="32"/>
    </row>
    <row r="129" spans="1:26" x14ac:dyDescent="0.2">
      <c r="A129" s="32"/>
      <c r="G129" s="32"/>
      <c r="H129" s="32"/>
      <c r="I129" s="32"/>
      <c r="J129" s="32"/>
      <c r="K129" s="32"/>
      <c r="L129" s="32"/>
      <c r="M129" s="32"/>
      <c r="N129" s="32"/>
      <c r="O129" s="32"/>
      <c r="P129" s="32"/>
      <c r="Q129" s="32"/>
      <c r="R129" s="32"/>
      <c r="S129" s="32"/>
      <c r="T129" s="32"/>
      <c r="U129" s="32"/>
      <c r="V129" s="32"/>
      <c r="W129" s="32"/>
      <c r="X129" s="32"/>
      <c r="Y129" s="32"/>
      <c r="Z129" s="32"/>
    </row>
    <row r="130" spans="1:26" x14ac:dyDescent="0.2">
      <c r="A130" s="32"/>
      <c r="G130" s="32"/>
      <c r="H130" s="32"/>
      <c r="I130" s="32"/>
      <c r="J130" s="32"/>
      <c r="K130" s="32"/>
      <c r="L130" s="32"/>
      <c r="M130" s="32"/>
      <c r="N130" s="32"/>
      <c r="O130" s="32"/>
      <c r="P130" s="32"/>
      <c r="Q130" s="32"/>
      <c r="R130" s="32"/>
      <c r="S130" s="32"/>
      <c r="T130" s="32"/>
      <c r="U130" s="32"/>
      <c r="V130" s="32"/>
      <c r="W130" s="32"/>
      <c r="X130" s="32"/>
      <c r="Y130" s="32"/>
      <c r="Z130" s="32"/>
    </row>
    <row r="131" spans="1:26" x14ac:dyDescent="0.2">
      <c r="A131" s="32"/>
      <c r="G131" s="32"/>
      <c r="H131" s="32"/>
      <c r="I131" s="32"/>
      <c r="J131" s="32"/>
      <c r="K131" s="32"/>
      <c r="L131" s="32"/>
      <c r="M131" s="32"/>
      <c r="N131" s="32"/>
      <c r="O131" s="32"/>
      <c r="P131" s="32"/>
      <c r="Q131" s="32"/>
      <c r="R131" s="32"/>
      <c r="S131" s="32"/>
      <c r="T131" s="32"/>
      <c r="U131" s="32"/>
      <c r="V131" s="32"/>
      <c r="W131" s="32"/>
      <c r="X131" s="32"/>
      <c r="Y131" s="32"/>
      <c r="Z131" s="32"/>
    </row>
    <row r="132" spans="1:26" x14ac:dyDescent="0.2">
      <c r="A132" s="32"/>
      <c r="G132" s="32"/>
      <c r="H132" s="32"/>
      <c r="I132" s="32"/>
      <c r="J132" s="32"/>
      <c r="K132" s="32"/>
      <c r="L132" s="32"/>
      <c r="M132" s="32"/>
      <c r="N132" s="32"/>
      <c r="O132" s="32"/>
      <c r="P132" s="32"/>
      <c r="Q132" s="32"/>
      <c r="R132" s="32"/>
      <c r="S132" s="32"/>
      <c r="T132" s="32"/>
      <c r="U132" s="32"/>
      <c r="V132" s="32"/>
      <c r="W132" s="32"/>
      <c r="X132" s="32"/>
      <c r="Y132" s="32"/>
      <c r="Z132" s="32"/>
    </row>
    <row r="133" spans="1:26" x14ac:dyDescent="0.2">
      <c r="A133" s="32"/>
      <c r="G133" s="32"/>
      <c r="H133" s="32"/>
      <c r="I133" s="32"/>
      <c r="J133" s="32"/>
      <c r="K133" s="32"/>
      <c r="L133" s="32"/>
      <c r="M133" s="32"/>
      <c r="N133" s="32"/>
      <c r="O133" s="32"/>
      <c r="P133" s="32"/>
      <c r="Q133" s="32"/>
      <c r="R133" s="32"/>
      <c r="S133" s="32"/>
      <c r="T133" s="32"/>
      <c r="U133" s="32"/>
      <c r="V133" s="32"/>
      <c r="W133" s="32"/>
      <c r="X133" s="32"/>
      <c r="Y133" s="32"/>
      <c r="Z133" s="32"/>
    </row>
    <row r="134" spans="1:26" x14ac:dyDescent="0.2">
      <c r="A134" s="32"/>
      <c r="G134" s="32"/>
      <c r="H134" s="32"/>
      <c r="I134" s="32"/>
      <c r="J134" s="32"/>
      <c r="K134" s="32"/>
      <c r="L134" s="32"/>
      <c r="M134" s="32"/>
      <c r="N134" s="32"/>
      <c r="O134" s="32"/>
      <c r="P134" s="32"/>
      <c r="Q134" s="32"/>
      <c r="R134" s="32"/>
      <c r="S134" s="32"/>
      <c r="T134" s="32"/>
      <c r="U134" s="32"/>
      <c r="V134" s="32"/>
      <c r="W134" s="32"/>
      <c r="X134" s="32"/>
      <c r="Y134" s="32"/>
      <c r="Z134" s="32"/>
    </row>
    <row r="135" spans="1:26" x14ac:dyDescent="0.2">
      <c r="A135" s="32"/>
      <c r="G135" s="32"/>
      <c r="H135" s="32"/>
      <c r="I135" s="32"/>
      <c r="J135" s="32"/>
      <c r="K135" s="32"/>
      <c r="L135" s="32"/>
      <c r="M135" s="32"/>
      <c r="N135" s="32"/>
      <c r="O135" s="32"/>
      <c r="P135" s="32"/>
      <c r="Q135" s="32"/>
      <c r="R135" s="32"/>
      <c r="S135" s="32"/>
      <c r="T135" s="32"/>
      <c r="U135" s="32"/>
      <c r="V135" s="32"/>
      <c r="W135" s="32"/>
      <c r="X135" s="32"/>
      <c r="Y135" s="32"/>
      <c r="Z135" s="32"/>
    </row>
    <row r="136" spans="1:26" x14ac:dyDescent="0.2">
      <c r="A136" s="32"/>
      <c r="G136" s="32"/>
      <c r="H136" s="32"/>
      <c r="I136" s="32"/>
      <c r="J136" s="32"/>
      <c r="K136" s="32"/>
      <c r="L136" s="32"/>
      <c r="M136" s="32"/>
      <c r="N136" s="32"/>
      <c r="O136" s="32"/>
      <c r="P136" s="32"/>
      <c r="Q136" s="32"/>
      <c r="R136" s="32"/>
      <c r="S136" s="32"/>
      <c r="T136" s="32"/>
      <c r="U136" s="32"/>
      <c r="V136" s="32"/>
      <c r="W136" s="32"/>
      <c r="X136" s="32"/>
      <c r="Y136" s="32"/>
      <c r="Z136" s="32"/>
    </row>
    <row r="137" spans="1:26" x14ac:dyDescent="0.2">
      <c r="A137" s="32"/>
      <c r="G137" s="32"/>
      <c r="H137" s="32"/>
      <c r="I137" s="32"/>
      <c r="J137" s="32"/>
      <c r="K137" s="32"/>
      <c r="L137" s="32"/>
      <c r="M137" s="32"/>
      <c r="N137" s="32"/>
      <c r="O137" s="32"/>
      <c r="P137" s="32"/>
      <c r="Q137" s="32"/>
      <c r="R137" s="32"/>
      <c r="S137" s="32"/>
      <c r="T137" s="32"/>
      <c r="U137" s="32"/>
      <c r="V137" s="32"/>
      <c r="W137" s="32"/>
      <c r="X137" s="32"/>
      <c r="Y137" s="32"/>
      <c r="Z137" s="32"/>
    </row>
    <row r="138" spans="1:26" x14ac:dyDescent="0.2">
      <c r="A138" s="32"/>
      <c r="G138" s="32"/>
      <c r="H138" s="32"/>
      <c r="I138" s="32"/>
      <c r="J138" s="32"/>
      <c r="K138" s="32"/>
      <c r="L138" s="32"/>
      <c r="M138" s="32"/>
      <c r="N138" s="32"/>
      <c r="O138" s="32"/>
      <c r="P138" s="32"/>
      <c r="Q138" s="32"/>
      <c r="R138" s="32"/>
      <c r="S138" s="32"/>
      <c r="T138" s="32"/>
      <c r="U138" s="32"/>
      <c r="V138" s="32"/>
      <c r="W138" s="32"/>
      <c r="X138" s="32"/>
      <c r="Y138" s="32"/>
      <c r="Z138" s="32"/>
    </row>
    <row r="139" spans="1:26" x14ac:dyDescent="0.2">
      <c r="A139" s="32"/>
      <c r="G139" s="32"/>
      <c r="H139" s="32"/>
      <c r="I139" s="32"/>
      <c r="J139" s="32"/>
      <c r="K139" s="32"/>
      <c r="L139" s="32"/>
      <c r="M139" s="32"/>
      <c r="N139" s="32"/>
      <c r="O139" s="32"/>
      <c r="P139" s="32"/>
      <c r="Q139" s="32"/>
      <c r="R139" s="32"/>
      <c r="S139" s="32"/>
      <c r="T139" s="32"/>
      <c r="U139" s="32"/>
      <c r="V139" s="32"/>
      <c r="W139" s="32"/>
      <c r="X139" s="32"/>
      <c r="Y139" s="32"/>
      <c r="Z139" s="32"/>
    </row>
    <row r="140" spans="1:26" x14ac:dyDescent="0.2">
      <c r="A140" s="32"/>
      <c r="G140" s="32"/>
      <c r="H140" s="32"/>
      <c r="I140" s="32"/>
      <c r="J140" s="32"/>
      <c r="K140" s="32"/>
      <c r="L140" s="32"/>
      <c r="M140" s="32"/>
      <c r="N140" s="32"/>
      <c r="O140" s="32"/>
      <c r="P140" s="32"/>
      <c r="Q140" s="32"/>
      <c r="R140" s="32"/>
      <c r="S140" s="32"/>
      <c r="T140" s="32"/>
      <c r="U140" s="32"/>
      <c r="V140" s="32"/>
      <c r="W140" s="32"/>
      <c r="X140" s="32"/>
      <c r="Y140" s="32"/>
      <c r="Z140" s="32"/>
    </row>
    <row r="141" spans="1:26" x14ac:dyDescent="0.2">
      <c r="A141" s="32"/>
      <c r="G141" s="32"/>
      <c r="H141" s="32"/>
      <c r="I141" s="32"/>
      <c r="J141" s="32"/>
      <c r="K141" s="32"/>
      <c r="L141" s="32"/>
      <c r="M141" s="32"/>
      <c r="N141" s="32"/>
      <c r="O141" s="32"/>
      <c r="P141" s="32"/>
      <c r="Q141" s="32"/>
      <c r="R141" s="32"/>
      <c r="S141" s="32"/>
      <c r="T141" s="32"/>
      <c r="U141" s="32"/>
      <c r="V141" s="32"/>
      <c r="W141" s="32"/>
      <c r="X141" s="32"/>
      <c r="Y141" s="32"/>
      <c r="Z141" s="32"/>
    </row>
    <row r="142" spans="1:26" x14ac:dyDescent="0.2">
      <c r="A142" s="32"/>
      <c r="G142" s="32"/>
      <c r="H142" s="32"/>
      <c r="I142" s="32"/>
      <c r="J142" s="32"/>
      <c r="K142" s="32"/>
      <c r="L142" s="32"/>
      <c r="M142" s="32"/>
      <c r="N142" s="32"/>
      <c r="O142" s="32"/>
      <c r="P142" s="32"/>
      <c r="Q142" s="32"/>
      <c r="R142" s="32"/>
      <c r="S142" s="32"/>
      <c r="T142" s="32"/>
      <c r="U142" s="32"/>
      <c r="V142" s="32"/>
      <c r="W142" s="32"/>
      <c r="X142" s="32"/>
      <c r="Y142" s="32"/>
      <c r="Z142" s="32"/>
    </row>
    <row r="143" spans="1:26" x14ac:dyDescent="0.2">
      <c r="A143" s="32"/>
      <c r="G143" s="32"/>
      <c r="H143" s="32"/>
      <c r="I143" s="32"/>
      <c r="J143" s="32"/>
      <c r="K143" s="32"/>
      <c r="L143" s="32"/>
      <c r="M143" s="32"/>
      <c r="N143" s="32"/>
      <c r="O143" s="32"/>
      <c r="P143" s="32"/>
      <c r="Q143" s="32"/>
      <c r="R143" s="32"/>
      <c r="S143" s="32"/>
      <c r="T143" s="32"/>
      <c r="U143" s="32"/>
      <c r="V143" s="32"/>
      <c r="W143" s="32"/>
      <c r="X143" s="32"/>
      <c r="Y143" s="32"/>
      <c r="Z143" s="32"/>
    </row>
    <row r="144" spans="1:26" x14ac:dyDescent="0.2">
      <c r="A144" s="32"/>
      <c r="G144" s="32"/>
      <c r="H144" s="32"/>
      <c r="I144" s="32"/>
      <c r="J144" s="32"/>
      <c r="K144" s="32"/>
      <c r="L144" s="32"/>
      <c r="M144" s="32"/>
      <c r="N144" s="32"/>
      <c r="O144" s="32"/>
      <c r="P144" s="32"/>
      <c r="Q144" s="32"/>
      <c r="R144" s="32"/>
      <c r="S144" s="32"/>
      <c r="T144" s="32"/>
      <c r="U144" s="32"/>
      <c r="V144" s="32"/>
      <c r="W144" s="32"/>
      <c r="X144" s="32"/>
      <c r="Y144" s="32"/>
      <c r="Z144" s="32"/>
    </row>
    <row r="145" spans="1:26" x14ac:dyDescent="0.2">
      <c r="A145" s="32"/>
      <c r="G145" s="32"/>
      <c r="H145" s="32"/>
      <c r="I145" s="32"/>
      <c r="J145" s="32"/>
      <c r="K145" s="32"/>
      <c r="L145" s="32"/>
      <c r="M145" s="32"/>
      <c r="N145" s="32"/>
      <c r="O145" s="32"/>
      <c r="P145" s="32"/>
      <c r="Q145" s="32"/>
      <c r="R145" s="32"/>
      <c r="S145" s="32"/>
      <c r="T145" s="32"/>
      <c r="U145" s="32"/>
      <c r="V145" s="32"/>
      <c r="W145" s="32"/>
      <c r="X145" s="32"/>
      <c r="Y145" s="32"/>
      <c r="Z145" s="32"/>
    </row>
    <row r="146" spans="1:26" x14ac:dyDescent="0.2">
      <c r="A146" s="32"/>
      <c r="G146" s="32"/>
      <c r="H146" s="32"/>
      <c r="I146" s="32"/>
      <c r="J146" s="32"/>
      <c r="K146" s="32"/>
      <c r="L146" s="32"/>
      <c r="M146" s="32"/>
      <c r="N146" s="32"/>
      <c r="O146" s="32"/>
      <c r="P146" s="32"/>
      <c r="Q146" s="32"/>
      <c r="R146" s="32"/>
      <c r="S146" s="32"/>
      <c r="T146" s="32"/>
      <c r="U146" s="32"/>
      <c r="V146" s="32"/>
      <c r="W146" s="32"/>
      <c r="X146" s="32"/>
      <c r="Y146" s="32"/>
      <c r="Z146" s="32"/>
    </row>
    <row r="147" spans="1:26" x14ac:dyDescent="0.2">
      <c r="A147" s="32"/>
      <c r="G147" s="32"/>
      <c r="H147" s="32"/>
      <c r="I147" s="32"/>
      <c r="J147" s="32"/>
      <c r="K147" s="32"/>
      <c r="L147" s="32"/>
      <c r="M147" s="32"/>
      <c r="N147" s="32"/>
      <c r="O147" s="32"/>
      <c r="P147" s="32"/>
      <c r="Q147" s="32"/>
      <c r="R147" s="32"/>
      <c r="S147" s="32"/>
      <c r="T147" s="32"/>
      <c r="U147" s="32"/>
      <c r="V147" s="32"/>
      <c r="W147" s="32"/>
      <c r="X147" s="32"/>
      <c r="Y147" s="32"/>
      <c r="Z147" s="32"/>
    </row>
    <row r="148" spans="1:26" x14ac:dyDescent="0.2">
      <c r="A148" s="32"/>
      <c r="G148" s="32"/>
      <c r="H148" s="32"/>
      <c r="I148" s="32"/>
      <c r="J148" s="32"/>
      <c r="K148" s="32"/>
      <c r="L148" s="32"/>
      <c r="M148" s="32"/>
      <c r="N148" s="32"/>
      <c r="O148" s="32"/>
      <c r="P148" s="32"/>
      <c r="Q148" s="32"/>
      <c r="R148" s="32"/>
      <c r="S148" s="32"/>
      <c r="T148" s="32"/>
      <c r="U148" s="32"/>
      <c r="V148" s="32"/>
      <c r="W148" s="32"/>
      <c r="X148" s="32"/>
      <c r="Y148" s="32"/>
      <c r="Z148" s="32"/>
    </row>
    <row r="149" spans="1:26" x14ac:dyDescent="0.2">
      <c r="A149" s="32"/>
      <c r="G149" s="32"/>
      <c r="H149" s="32"/>
      <c r="I149" s="32"/>
      <c r="J149" s="32"/>
      <c r="K149" s="32"/>
      <c r="L149" s="32"/>
      <c r="M149" s="32"/>
      <c r="N149" s="32"/>
      <c r="O149" s="32"/>
      <c r="P149" s="32"/>
      <c r="Q149" s="32"/>
      <c r="R149" s="32"/>
      <c r="S149" s="32"/>
      <c r="T149" s="32"/>
      <c r="U149" s="32"/>
      <c r="V149" s="32"/>
      <c r="W149" s="32"/>
      <c r="X149" s="32"/>
      <c r="Y149" s="32"/>
      <c r="Z149" s="32"/>
    </row>
    <row r="150" spans="1:26" x14ac:dyDescent="0.2">
      <c r="A150" s="32"/>
      <c r="G150" s="32"/>
      <c r="H150" s="32"/>
      <c r="I150" s="32"/>
      <c r="J150" s="32"/>
      <c r="K150" s="32"/>
      <c r="L150" s="32"/>
      <c r="M150" s="32"/>
      <c r="N150" s="32"/>
      <c r="O150" s="32"/>
      <c r="P150" s="32"/>
      <c r="Q150" s="32"/>
      <c r="R150" s="32"/>
      <c r="S150" s="32"/>
      <c r="T150" s="32"/>
      <c r="U150" s="32"/>
      <c r="V150" s="32"/>
      <c r="W150" s="32"/>
      <c r="X150" s="32"/>
      <c r="Y150" s="32"/>
      <c r="Z150" s="32"/>
    </row>
    <row r="151" spans="1:26" x14ac:dyDescent="0.2">
      <c r="A151" s="32"/>
      <c r="G151" s="32"/>
      <c r="H151" s="32"/>
      <c r="I151" s="32"/>
      <c r="J151" s="32"/>
      <c r="K151" s="32"/>
      <c r="L151" s="32"/>
      <c r="M151" s="32"/>
      <c r="N151" s="32"/>
      <c r="O151" s="32"/>
      <c r="P151" s="32"/>
      <c r="Q151" s="32"/>
      <c r="R151" s="32"/>
      <c r="S151" s="32"/>
      <c r="T151" s="32"/>
      <c r="U151" s="32"/>
      <c r="V151" s="32"/>
      <c r="W151" s="32"/>
      <c r="X151" s="32"/>
      <c r="Y151" s="32"/>
      <c r="Z151" s="32"/>
    </row>
    <row r="152" spans="1:26" x14ac:dyDescent="0.2">
      <c r="A152" s="32"/>
      <c r="G152" s="32"/>
      <c r="H152" s="32"/>
      <c r="I152" s="32"/>
      <c r="J152" s="32"/>
      <c r="K152" s="32"/>
      <c r="L152" s="32"/>
      <c r="M152" s="32"/>
      <c r="N152" s="32"/>
      <c r="O152" s="32"/>
      <c r="P152" s="32"/>
      <c r="Q152" s="32"/>
      <c r="R152" s="32"/>
      <c r="S152" s="32"/>
      <c r="T152" s="32"/>
      <c r="U152" s="32"/>
      <c r="V152" s="32"/>
      <c r="W152" s="32"/>
      <c r="X152" s="32"/>
      <c r="Y152" s="32"/>
      <c r="Z152" s="32"/>
    </row>
    <row r="153" spans="1:26" x14ac:dyDescent="0.2">
      <c r="A153" s="32"/>
      <c r="G153" s="32"/>
      <c r="H153" s="32"/>
      <c r="I153" s="32"/>
      <c r="J153" s="32"/>
      <c r="K153" s="32"/>
      <c r="L153" s="32"/>
      <c r="M153" s="32"/>
      <c r="N153" s="32"/>
      <c r="O153" s="32"/>
      <c r="P153" s="32"/>
      <c r="Q153" s="32"/>
      <c r="R153" s="32"/>
      <c r="S153" s="32"/>
      <c r="T153" s="32"/>
      <c r="U153" s="32"/>
      <c r="V153" s="32"/>
      <c r="W153" s="32"/>
      <c r="X153" s="32"/>
      <c r="Y153" s="32"/>
      <c r="Z153" s="32"/>
    </row>
    <row r="154" spans="1:26" x14ac:dyDescent="0.2">
      <c r="A154" s="32"/>
      <c r="G154" s="32"/>
      <c r="H154" s="32"/>
      <c r="I154" s="32"/>
      <c r="J154" s="32"/>
      <c r="K154" s="32"/>
      <c r="L154" s="32"/>
      <c r="M154" s="32"/>
      <c r="N154" s="32"/>
      <c r="O154" s="32"/>
      <c r="P154" s="32"/>
      <c r="Q154" s="32"/>
      <c r="R154" s="32"/>
      <c r="S154" s="32"/>
      <c r="T154" s="32"/>
      <c r="U154" s="32"/>
      <c r="V154" s="32"/>
      <c r="W154" s="32"/>
      <c r="X154" s="32"/>
      <c r="Y154" s="32"/>
      <c r="Z154" s="32"/>
    </row>
    <row r="155" spans="1:26" x14ac:dyDescent="0.2">
      <c r="A155" s="32"/>
      <c r="G155" s="32"/>
      <c r="H155" s="32"/>
      <c r="I155" s="32"/>
      <c r="J155" s="32"/>
      <c r="K155" s="32"/>
      <c r="L155" s="32"/>
      <c r="M155" s="32"/>
      <c r="N155" s="32"/>
      <c r="O155" s="32"/>
      <c r="P155" s="32"/>
      <c r="Q155" s="32"/>
      <c r="R155" s="32"/>
      <c r="S155" s="32"/>
      <c r="T155" s="32"/>
      <c r="U155" s="32"/>
      <c r="V155" s="32"/>
      <c r="W155" s="32"/>
      <c r="X155" s="32"/>
      <c r="Y155" s="32"/>
      <c r="Z155" s="32"/>
    </row>
    <row r="156" spans="1:26" x14ac:dyDescent="0.2">
      <c r="A156" s="32"/>
      <c r="G156" s="32"/>
      <c r="H156" s="32"/>
      <c r="I156" s="32"/>
      <c r="J156" s="32"/>
      <c r="K156" s="32"/>
      <c r="L156" s="32"/>
      <c r="M156" s="32"/>
      <c r="N156" s="32"/>
      <c r="O156" s="32"/>
      <c r="P156" s="32"/>
      <c r="Q156" s="32"/>
      <c r="R156" s="32"/>
      <c r="S156" s="32"/>
      <c r="T156" s="32"/>
      <c r="U156" s="32"/>
      <c r="V156" s="32"/>
      <c r="W156" s="32"/>
      <c r="X156" s="32"/>
      <c r="Y156" s="32"/>
      <c r="Z156" s="32"/>
    </row>
    <row r="157" spans="1:26" x14ac:dyDescent="0.2">
      <c r="A157" s="32"/>
      <c r="G157" s="32"/>
      <c r="H157" s="32"/>
      <c r="I157" s="32"/>
      <c r="J157" s="32"/>
      <c r="K157" s="32"/>
      <c r="L157" s="32"/>
      <c r="M157" s="32"/>
      <c r="N157" s="32"/>
      <c r="O157" s="32"/>
      <c r="P157" s="32"/>
      <c r="Q157" s="32"/>
      <c r="R157" s="32"/>
      <c r="S157" s="32"/>
      <c r="T157" s="32"/>
      <c r="U157" s="32"/>
      <c r="V157" s="32"/>
      <c r="W157" s="32"/>
      <c r="X157" s="32"/>
      <c r="Y157" s="32"/>
      <c r="Z157" s="32"/>
    </row>
    <row r="158" spans="1:26" x14ac:dyDescent="0.2">
      <c r="A158" s="32"/>
      <c r="G158" s="32"/>
      <c r="H158" s="32"/>
      <c r="I158" s="32"/>
      <c r="J158" s="32"/>
      <c r="K158" s="32"/>
      <c r="L158" s="32"/>
      <c r="M158" s="32"/>
      <c r="N158" s="32"/>
      <c r="O158" s="32"/>
      <c r="P158" s="32"/>
      <c r="Q158" s="32"/>
      <c r="R158" s="32"/>
      <c r="S158" s="32"/>
      <c r="T158" s="32"/>
      <c r="U158" s="32"/>
      <c r="V158" s="32"/>
      <c r="W158" s="32"/>
      <c r="X158" s="32"/>
      <c r="Y158" s="32"/>
      <c r="Z158" s="32"/>
    </row>
    <row r="159" spans="1:26" x14ac:dyDescent="0.2">
      <c r="A159" s="32"/>
      <c r="G159" s="32"/>
      <c r="H159" s="32"/>
      <c r="I159" s="32"/>
      <c r="J159" s="32"/>
      <c r="K159" s="32"/>
      <c r="L159" s="32"/>
      <c r="M159" s="32"/>
      <c r="N159" s="32"/>
      <c r="O159" s="32"/>
      <c r="P159" s="32"/>
      <c r="Q159" s="32"/>
      <c r="R159" s="32"/>
      <c r="S159" s="32"/>
      <c r="T159" s="32"/>
      <c r="U159" s="32"/>
      <c r="V159" s="32"/>
      <c r="W159" s="32"/>
      <c r="X159" s="32"/>
      <c r="Y159" s="32"/>
      <c r="Z159" s="32"/>
    </row>
    <row r="160" spans="1:26" x14ac:dyDescent="0.2">
      <c r="A160" s="32"/>
      <c r="G160" s="32"/>
      <c r="H160" s="32"/>
      <c r="I160" s="32"/>
      <c r="J160" s="32"/>
      <c r="K160" s="32"/>
      <c r="L160" s="32"/>
      <c r="M160" s="32"/>
      <c r="N160" s="32"/>
      <c r="O160" s="32"/>
      <c r="P160" s="32"/>
      <c r="Q160" s="32"/>
      <c r="R160" s="32"/>
      <c r="S160" s="32"/>
      <c r="T160" s="32"/>
      <c r="U160" s="32"/>
      <c r="V160" s="32"/>
      <c r="W160" s="32"/>
      <c r="X160" s="32"/>
      <c r="Y160" s="32"/>
      <c r="Z160" s="32"/>
    </row>
    <row r="161" spans="1:26" x14ac:dyDescent="0.2">
      <c r="A161" s="32"/>
      <c r="G161" s="32"/>
      <c r="H161" s="32"/>
      <c r="I161" s="32"/>
      <c r="J161" s="32"/>
      <c r="K161" s="32"/>
      <c r="L161" s="32"/>
      <c r="M161" s="32"/>
      <c r="N161" s="32"/>
      <c r="O161" s="32"/>
      <c r="P161" s="32"/>
      <c r="Q161" s="32"/>
      <c r="R161" s="32"/>
      <c r="S161" s="32"/>
      <c r="T161" s="32"/>
      <c r="U161" s="32"/>
      <c r="V161" s="32"/>
      <c r="W161" s="32"/>
      <c r="X161" s="32"/>
      <c r="Y161" s="32"/>
      <c r="Z161" s="32"/>
    </row>
    <row r="162" spans="1:26" x14ac:dyDescent="0.2">
      <c r="A162" s="32"/>
      <c r="G162" s="32"/>
      <c r="H162" s="32"/>
      <c r="I162" s="32"/>
      <c r="J162" s="32"/>
      <c r="K162" s="32"/>
      <c r="L162" s="32"/>
      <c r="M162" s="32"/>
      <c r="N162" s="32"/>
      <c r="O162" s="32"/>
      <c r="P162" s="32"/>
      <c r="Q162" s="32"/>
      <c r="R162" s="32"/>
      <c r="S162" s="32"/>
      <c r="T162" s="32"/>
      <c r="U162" s="32"/>
      <c r="V162" s="32"/>
      <c r="W162" s="32"/>
      <c r="X162" s="32"/>
      <c r="Y162" s="32"/>
      <c r="Z162" s="32"/>
    </row>
    <row r="163" spans="1:26" x14ac:dyDescent="0.2">
      <c r="A163" s="32"/>
      <c r="G163" s="32"/>
      <c r="H163" s="32"/>
      <c r="I163" s="32"/>
      <c r="J163" s="32"/>
      <c r="K163" s="32"/>
      <c r="L163" s="32"/>
      <c r="M163" s="32"/>
      <c r="N163" s="32"/>
      <c r="O163" s="32"/>
      <c r="P163" s="32"/>
      <c r="Q163" s="32"/>
      <c r="R163" s="32"/>
      <c r="S163" s="32"/>
      <c r="T163" s="32"/>
      <c r="U163" s="32"/>
      <c r="V163" s="32"/>
      <c r="W163" s="32"/>
      <c r="X163" s="32"/>
      <c r="Y163" s="32"/>
      <c r="Z163" s="32"/>
    </row>
    <row r="164" spans="1:26" x14ac:dyDescent="0.2">
      <c r="A164" s="32"/>
      <c r="G164" s="32"/>
      <c r="H164" s="32"/>
      <c r="I164" s="32"/>
      <c r="J164" s="32"/>
      <c r="K164" s="32"/>
      <c r="L164" s="32"/>
      <c r="M164" s="32"/>
      <c r="N164" s="32"/>
      <c r="O164" s="32"/>
      <c r="P164" s="32"/>
      <c r="Q164" s="32"/>
      <c r="R164" s="32"/>
      <c r="S164" s="32"/>
      <c r="T164" s="32"/>
      <c r="U164" s="32"/>
      <c r="V164" s="32"/>
      <c r="W164" s="32"/>
      <c r="X164" s="32"/>
      <c r="Y164" s="32"/>
      <c r="Z164" s="32"/>
    </row>
    <row r="165" spans="1:26" x14ac:dyDescent="0.2">
      <c r="A165" s="32"/>
      <c r="G165" s="32"/>
      <c r="H165" s="32"/>
      <c r="I165" s="32"/>
      <c r="J165" s="32"/>
      <c r="K165" s="32"/>
      <c r="L165" s="32"/>
      <c r="M165" s="32"/>
      <c r="N165" s="32"/>
      <c r="O165" s="32"/>
      <c r="P165" s="32"/>
      <c r="Q165" s="32"/>
      <c r="R165" s="32"/>
      <c r="S165" s="32"/>
      <c r="T165" s="32"/>
      <c r="U165" s="32"/>
      <c r="V165" s="32"/>
      <c r="W165" s="32"/>
      <c r="X165" s="32"/>
      <c r="Y165" s="32"/>
      <c r="Z165" s="32"/>
    </row>
    <row r="166" spans="1:26" x14ac:dyDescent="0.2">
      <c r="A166" s="32"/>
      <c r="G166" s="32"/>
      <c r="H166" s="32"/>
      <c r="I166" s="32"/>
      <c r="J166" s="32"/>
      <c r="K166" s="32"/>
      <c r="L166" s="32"/>
      <c r="M166" s="32"/>
      <c r="N166" s="32"/>
      <c r="O166" s="32"/>
      <c r="P166" s="32"/>
      <c r="Q166" s="32"/>
      <c r="R166" s="32"/>
      <c r="S166" s="32"/>
      <c r="T166" s="32"/>
      <c r="U166" s="32"/>
      <c r="V166" s="32"/>
      <c r="W166" s="32"/>
      <c r="X166" s="32"/>
      <c r="Y166" s="32"/>
      <c r="Z166" s="32"/>
    </row>
    <row r="167" spans="1:26" x14ac:dyDescent="0.2">
      <c r="A167" s="32"/>
      <c r="G167" s="32"/>
      <c r="H167" s="32"/>
      <c r="I167" s="32"/>
      <c r="J167" s="32"/>
      <c r="K167" s="32"/>
      <c r="L167" s="32"/>
      <c r="M167" s="32"/>
      <c r="N167" s="32"/>
      <c r="O167" s="32"/>
      <c r="P167" s="32"/>
      <c r="Q167" s="32"/>
      <c r="R167" s="32"/>
      <c r="S167" s="32"/>
      <c r="T167" s="32"/>
      <c r="U167" s="32"/>
      <c r="V167" s="32"/>
      <c r="W167" s="32"/>
      <c r="X167" s="32"/>
      <c r="Y167" s="32"/>
      <c r="Z167" s="32"/>
    </row>
    <row r="168" spans="1:26" x14ac:dyDescent="0.2">
      <c r="A168" s="32"/>
      <c r="G168" s="32"/>
      <c r="H168" s="32"/>
      <c r="I168" s="32"/>
      <c r="J168" s="32"/>
      <c r="K168" s="32"/>
      <c r="L168" s="32"/>
      <c r="M168" s="32"/>
      <c r="N168" s="32"/>
      <c r="O168" s="32"/>
      <c r="P168" s="32"/>
      <c r="Q168" s="32"/>
      <c r="R168" s="32"/>
      <c r="S168" s="32"/>
      <c r="T168" s="32"/>
      <c r="U168" s="32"/>
      <c r="V168" s="32"/>
      <c r="W168" s="32"/>
      <c r="X168" s="32"/>
      <c r="Y168" s="32"/>
      <c r="Z168" s="32"/>
    </row>
    <row r="169" spans="1:26" x14ac:dyDescent="0.2">
      <c r="A169" s="32"/>
      <c r="G169" s="32"/>
      <c r="H169" s="32"/>
      <c r="I169" s="32"/>
      <c r="J169" s="32"/>
      <c r="K169" s="32"/>
      <c r="L169" s="32"/>
      <c r="M169" s="32"/>
      <c r="N169" s="32"/>
      <c r="O169" s="32"/>
      <c r="P169" s="32"/>
      <c r="Q169" s="32"/>
      <c r="R169" s="32"/>
      <c r="S169" s="32"/>
      <c r="T169" s="32"/>
      <c r="U169" s="32"/>
      <c r="V169" s="32"/>
      <c r="W169" s="32"/>
      <c r="X169" s="32"/>
      <c r="Y169" s="32"/>
      <c r="Z169" s="32"/>
    </row>
    <row r="170" spans="1:26" x14ac:dyDescent="0.2">
      <c r="A170" s="32"/>
      <c r="G170" s="32"/>
      <c r="H170" s="32"/>
      <c r="I170" s="32"/>
      <c r="J170" s="32"/>
      <c r="K170" s="32"/>
      <c r="L170" s="32"/>
      <c r="M170" s="32"/>
      <c r="N170" s="32"/>
      <c r="O170" s="32"/>
      <c r="P170" s="32"/>
      <c r="Q170" s="32"/>
      <c r="R170" s="32"/>
      <c r="S170" s="32"/>
      <c r="T170" s="32"/>
      <c r="U170" s="32"/>
      <c r="V170" s="32"/>
      <c r="W170" s="32"/>
      <c r="X170" s="32"/>
      <c r="Y170" s="32"/>
      <c r="Z170" s="32"/>
    </row>
    <row r="171" spans="1:26" x14ac:dyDescent="0.2">
      <c r="A171" s="32"/>
      <c r="G171" s="32"/>
      <c r="H171" s="32"/>
      <c r="I171" s="32"/>
      <c r="J171" s="32"/>
      <c r="K171" s="32"/>
      <c r="L171" s="32"/>
      <c r="M171" s="32"/>
      <c r="N171" s="32"/>
      <c r="O171" s="32"/>
      <c r="P171" s="32"/>
      <c r="Q171" s="32"/>
      <c r="R171" s="32"/>
      <c r="S171" s="32"/>
      <c r="T171" s="32"/>
      <c r="U171" s="32"/>
      <c r="V171" s="32"/>
      <c r="W171" s="32"/>
      <c r="X171" s="32"/>
      <c r="Y171" s="32"/>
      <c r="Z171" s="32"/>
    </row>
    <row r="172" spans="1:26" x14ac:dyDescent="0.2">
      <c r="A172" s="32"/>
      <c r="G172" s="32"/>
      <c r="H172" s="32"/>
      <c r="I172" s="32"/>
      <c r="J172" s="32"/>
      <c r="K172" s="32"/>
      <c r="L172" s="32"/>
      <c r="M172" s="32"/>
      <c r="N172" s="32"/>
      <c r="O172" s="32"/>
      <c r="P172" s="32"/>
      <c r="Q172" s="32"/>
      <c r="R172" s="32"/>
      <c r="S172" s="32"/>
      <c r="T172" s="32"/>
      <c r="U172" s="32"/>
      <c r="V172" s="32"/>
      <c r="W172" s="32"/>
      <c r="X172" s="32"/>
      <c r="Y172" s="32"/>
      <c r="Z172" s="32"/>
    </row>
    <row r="173" spans="1:26" x14ac:dyDescent="0.2">
      <c r="A173" s="32"/>
      <c r="G173" s="32"/>
      <c r="H173" s="32"/>
      <c r="I173" s="32"/>
      <c r="J173" s="32"/>
      <c r="K173" s="32"/>
      <c r="L173" s="32"/>
      <c r="M173" s="32"/>
      <c r="N173" s="32"/>
      <c r="O173" s="32"/>
      <c r="P173" s="32"/>
      <c r="Q173" s="32"/>
      <c r="R173" s="32"/>
      <c r="S173" s="32"/>
      <c r="T173" s="32"/>
      <c r="U173" s="32"/>
      <c r="V173" s="32"/>
      <c r="W173" s="32"/>
      <c r="X173" s="32"/>
      <c r="Y173" s="32"/>
      <c r="Z173" s="32"/>
    </row>
    <row r="174" spans="1:26" x14ac:dyDescent="0.2">
      <c r="A174" s="32"/>
      <c r="G174" s="32"/>
      <c r="H174" s="32"/>
      <c r="I174" s="32"/>
      <c r="J174" s="32"/>
      <c r="K174" s="32"/>
      <c r="L174" s="32"/>
      <c r="M174" s="32"/>
      <c r="N174" s="32"/>
      <c r="O174" s="32"/>
      <c r="P174" s="32"/>
      <c r="Q174" s="32"/>
      <c r="R174" s="32"/>
      <c r="S174" s="32"/>
      <c r="T174" s="32"/>
      <c r="U174" s="32"/>
      <c r="V174" s="32"/>
      <c r="W174" s="32"/>
      <c r="X174" s="32"/>
      <c r="Y174" s="32"/>
      <c r="Z174" s="32"/>
    </row>
    <row r="175" spans="1:26" x14ac:dyDescent="0.2">
      <c r="A175" s="32"/>
      <c r="G175" s="32"/>
      <c r="H175" s="32"/>
      <c r="I175" s="32"/>
      <c r="J175" s="32"/>
      <c r="K175" s="32"/>
      <c r="L175" s="32"/>
      <c r="M175" s="32"/>
      <c r="N175" s="32"/>
      <c r="O175" s="32"/>
      <c r="P175" s="32"/>
      <c r="Q175" s="32"/>
      <c r="R175" s="32"/>
      <c r="S175" s="32"/>
      <c r="T175" s="32"/>
      <c r="U175" s="32"/>
      <c r="V175" s="32"/>
      <c r="W175" s="32"/>
      <c r="X175" s="32"/>
      <c r="Y175" s="32"/>
      <c r="Z175" s="32"/>
    </row>
    <row r="176" spans="1:26" x14ac:dyDescent="0.2">
      <c r="A176" s="32"/>
      <c r="G176" s="32"/>
      <c r="H176" s="32"/>
      <c r="I176" s="32"/>
      <c r="J176" s="32"/>
      <c r="K176" s="32"/>
      <c r="L176" s="32"/>
      <c r="M176" s="32"/>
      <c r="N176" s="32"/>
      <c r="O176" s="32"/>
      <c r="P176" s="32"/>
      <c r="Q176" s="32"/>
      <c r="R176" s="32"/>
      <c r="S176" s="32"/>
      <c r="T176" s="32"/>
      <c r="U176" s="32"/>
      <c r="V176" s="32"/>
      <c r="W176" s="32"/>
      <c r="X176" s="32"/>
      <c r="Y176" s="32"/>
      <c r="Z176" s="32"/>
    </row>
    <row r="177" spans="1:26" x14ac:dyDescent="0.2">
      <c r="A177" s="32"/>
      <c r="G177" s="32"/>
      <c r="H177" s="32"/>
      <c r="I177" s="32"/>
      <c r="J177" s="32"/>
      <c r="K177" s="32"/>
      <c r="L177" s="32"/>
      <c r="M177" s="32"/>
      <c r="N177" s="32"/>
      <c r="O177" s="32"/>
      <c r="P177" s="32"/>
      <c r="Q177" s="32"/>
      <c r="R177" s="32"/>
      <c r="S177" s="32"/>
      <c r="T177" s="32"/>
      <c r="U177" s="32"/>
      <c r="V177" s="32"/>
      <c r="W177" s="32"/>
      <c r="X177" s="32"/>
      <c r="Y177" s="32"/>
      <c r="Z177" s="32"/>
    </row>
    <row r="178" spans="1:26" x14ac:dyDescent="0.2">
      <c r="A178" s="32"/>
      <c r="G178" s="32"/>
      <c r="H178" s="32"/>
      <c r="I178" s="32"/>
      <c r="J178" s="32"/>
      <c r="K178" s="32"/>
      <c r="L178" s="32"/>
      <c r="M178" s="32"/>
      <c r="N178" s="32"/>
      <c r="O178" s="32"/>
      <c r="P178" s="32"/>
      <c r="Q178" s="32"/>
      <c r="R178" s="32"/>
      <c r="S178" s="32"/>
      <c r="T178" s="32"/>
      <c r="U178" s="32"/>
      <c r="V178" s="32"/>
      <c r="W178" s="32"/>
      <c r="X178" s="32"/>
      <c r="Y178" s="32"/>
      <c r="Z178" s="32"/>
    </row>
    <row r="179" spans="1:26" x14ac:dyDescent="0.2">
      <c r="A179" s="32"/>
      <c r="G179" s="32"/>
      <c r="H179" s="32"/>
      <c r="I179" s="32"/>
      <c r="J179" s="32"/>
      <c r="K179" s="32"/>
      <c r="L179" s="32"/>
      <c r="M179" s="32"/>
      <c r="N179" s="32"/>
      <c r="O179" s="32"/>
      <c r="P179" s="32"/>
      <c r="Q179" s="32"/>
      <c r="R179" s="32"/>
      <c r="S179" s="32"/>
      <c r="T179" s="32"/>
      <c r="U179" s="32"/>
      <c r="V179" s="32"/>
      <c r="W179" s="32"/>
      <c r="X179" s="32"/>
      <c r="Y179" s="32"/>
      <c r="Z179" s="32"/>
    </row>
    <row r="180" spans="1:26" x14ac:dyDescent="0.2">
      <c r="A180" s="32"/>
      <c r="G180" s="32"/>
      <c r="H180" s="32"/>
      <c r="I180" s="32"/>
      <c r="J180" s="32"/>
      <c r="K180" s="32"/>
      <c r="L180" s="32"/>
      <c r="M180" s="32"/>
      <c r="N180" s="32"/>
      <c r="O180" s="32"/>
      <c r="P180" s="32"/>
      <c r="Q180" s="32"/>
      <c r="R180" s="32"/>
      <c r="S180" s="32"/>
      <c r="T180" s="32"/>
      <c r="U180" s="32"/>
      <c r="V180" s="32"/>
      <c r="W180" s="32"/>
      <c r="X180" s="32"/>
      <c r="Y180" s="32"/>
      <c r="Z180" s="32"/>
    </row>
    <row r="181" spans="1:26" x14ac:dyDescent="0.2">
      <c r="A181" s="32"/>
      <c r="G181" s="32"/>
      <c r="H181" s="32"/>
      <c r="I181" s="32"/>
      <c r="J181" s="32"/>
      <c r="K181" s="32"/>
      <c r="L181" s="32"/>
      <c r="M181" s="32"/>
      <c r="N181" s="32"/>
      <c r="O181" s="32"/>
      <c r="P181" s="32"/>
      <c r="Q181" s="32"/>
      <c r="R181" s="32"/>
      <c r="S181" s="32"/>
      <c r="T181" s="32"/>
      <c r="U181" s="32"/>
      <c r="V181" s="32"/>
      <c r="W181" s="32"/>
      <c r="X181" s="32"/>
      <c r="Y181" s="32"/>
      <c r="Z181" s="32"/>
    </row>
    <row r="182" spans="1:26" x14ac:dyDescent="0.2">
      <c r="A182" s="32"/>
      <c r="G182" s="32"/>
      <c r="H182" s="32"/>
      <c r="I182" s="32"/>
      <c r="J182" s="32"/>
      <c r="K182" s="32"/>
      <c r="L182" s="32"/>
      <c r="M182" s="32"/>
      <c r="N182" s="32"/>
      <c r="O182" s="32"/>
      <c r="P182" s="32"/>
      <c r="Q182" s="32"/>
      <c r="R182" s="32"/>
      <c r="S182" s="32"/>
      <c r="T182" s="32"/>
      <c r="U182" s="32"/>
      <c r="V182" s="32"/>
      <c r="W182" s="32"/>
      <c r="X182" s="32"/>
      <c r="Y182" s="32"/>
      <c r="Z182" s="32"/>
    </row>
    <row r="183" spans="1:26" x14ac:dyDescent="0.2">
      <c r="A183" s="32"/>
      <c r="G183" s="32"/>
      <c r="H183" s="32"/>
      <c r="I183" s="32"/>
      <c r="J183" s="32"/>
      <c r="K183" s="32"/>
      <c r="L183" s="32"/>
      <c r="M183" s="32"/>
      <c r="N183" s="32"/>
      <c r="O183" s="32"/>
      <c r="P183" s="32"/>
      <c r="Q183" s="32"/>
      <c r="R183" s="32"/>
      <c r="S183" s="32"/>
      <c r="T183" s="32"/>
      <c r="U183" s="32"/>
      <c r="V183" s="32"/>
      <c r="W183" s="32"/>
      <c r="X183" s="32"/>
      <c r="Y183" s="32"/>
      <c r="Z183" s="32"/>
    </row>
    <row r="184" spans="1:26" x14ac:dyDescent="0.2">
      <c r="A184" s="32"/>
      <c r="G184" s="32"/>
      <c r="H184" s="32"/>
      <c r="I184" s="32"/>
      <c r="J184" s="32"/>
      <c r="K184" s="32"/>
      <c r="L184" s="32"/>
      <c r="M184" s="32"/>
      <c r="N184" s="32"/>
      <c r="O184" s="32"/>
      <c r="P184" s="32"/>
      <c r="Q184" s="32"/>
      <c r="R184" s="32"/>
      <c r="S184" s="32"/>
      <c r="T184" s="32"/>
      <c r="U184" s="32"/>
      <c r="V184" s="32"/>
      <c r="W184" s="32"/>
      <c r="X184" s="32"/>
      <c r="Y184" s="32"/>
      <c r="Z184" s="32"/>
    </row>
    <row r="185" spans="1:26" x14ac:dyDescent="0.2">
      <c r="A185" s="32"/>
      <c r="G185" s="32"/>
      <c r="H185" s="32"/>
      <c r="I185" s="32"/>
      <c r="J185" s="32"/>
      <c r="K185" s="32"/>
      <c r="L185" s="32"/>
      <c r="M185" s="32"/>
      <c r="N185" s="32"/>
      <c r="O185" s="32"/>
      <c r="P185" s="32"/>
      <c r="Q185" s="32"/>
      <c r="R185" s="32"/>
      <c r="S185" s="32"/>
      <c r="T185" s="32"/>
      <c r="U185" s="32"/>
      <c r="V185" s="32"/>
      <c r="W185" s="32"/>
      <c r="X185" s="32"/>
      <c r="Y185" s="32"/>
      <c r="Z185" s="32"/>
    </row>
    <row r="186" spans="1:26" x14ac:dyDescent="0.2">
      <c r="A186" s="32"/>
      <c r="G186" s="32"/>
      <c r="H186" s="32"/>
      <c r="I186" s="32"/>
      <c r="J186" s="32"/>
      <c r="K186" s="32"/>
      <c r="L186" s="32"/>
      <c r="M186" s="32"/>
      <c r="N186" s="32"/>
      <c r="O186" s="32"/>
      <c r="P186" s="32"/>
      <c r="Q186" s="32"/>
      <c r="R186" s="32"/>
      <c r="S186" s="32"/>
      <c r="T186" s="32"/>
      <c r="U186" s="32"/>
      <c r="V186" s="32"/>
      <c r="W186" s="32"/>
      <c r="X186" s="32"/>
      <c r="Y186" s="32"/>
      <c r="Z186" s="32"/>
    </row>
    <row r="187" spans="1:26" x14ac:dyDescent="0.2">
      <c r="A187" s="32"/>
      <c r="G187" s="32"/>
      <c r="H187" s="32"/>
      <c r="I187" s="32"/>
      <c r="J187" s="32"/>
      <c r="K187" s="32"/>
      <c r="L187" s="32"/>
      <c r="M187" s="32"/>
      <c r="N187" s="32"/>
      <c r="O187" s="32"/>
      <c r="P187" s="32"/>
      <c r="Q187" s="32"/>
      <c r="R187" s="32"/>
      <c r="S187" s="32"/>
      <c r="T187" s="32"/>
      <c r="U187" s="32"/>
      <c r="V187" s="32"/>
      <c r="W187" s="32"/>
      <c r="X187" s="32"/>
      <c r="Y187" s="32"/>
      <c r="Z187" s="32"/>
    </row>
    <row r="188" spans="1:26" x14ac:dyDescent="0.2">
      <c r="A188" s="32"/>
      <c r="G188" s="32"/>
      <c r="H188" s="32"/>
      <c r="I188" s="32"/>
      <c r="J188" s="32"/>
      <c r="K188" s="32"/>
      <c r="L188" s="32"/>
      <c r="M188" s="32"/>
      <c r="N188" s="32"/>
      <c r="O188" s="32"/>
      <c r="P188" s="32"/>
      <c r="Q188" s="32"/>
      <c r="R188" s="32"/>
      <c r="S188" s="32"/>
      <c r="T188" s="32"/>
      <c r="U188" s="32"/>
      <c r="V188" s="32"/>
      <c r="W188" s="32"/>
      <c r="X188" s="32"/>
      <c r="Y188" s="32"/>
      <c r="Z188" s="32"/>
    </row>
    <row r="189" spans="1:26" x14ac:dyDescent="0.2">
      <c r="A189" s="32"/>
      <c r="G189" s="32"/>
      <c r="H189" s="32"/>
      <c r="I189" s="32"/>
      <c r="J189" s="32"/>
      <c r="K189" s="32"/>
      <c r="L189" s="32"/>
      <c r="M189" s="32"/>
      <c r="N189" s="32"/>
      <c r="O189" s="32"/>
      <c r="P189" s="32"/>
      <c r="Q189" s="32"/>
      <c r="R189" s="32"/>
      <c r="S189" s="32"/>
      <c r="T189" s="32"/>
      <c r="U189" s="32"/>
      <c r="V189" s="32"/>
      <c r="W189" s="32"/>
      <c r="X189" s="32"/>
      <c r="Y189" s="32"/>
      <c r="Z189" s="32"/>
    </row>
    <row r="190" spans="1:26" x14ac:dyDescent="0.2">
      <c r="A190" s="32"/>
      <c r="G190" s="32"/>
      <c r="H190" s="32"/>
      <c r="I190" s="32"/>
      <c r="J190" s="32"/>
      <c r="K190" s="32"/>
      <c r="L190" s="32"/>
      <c r="M190" s="32"/>
      <c r="N190" s="32"/>
      <c r="O190" s="32"/>
      <c r="P190" s="32"/>
      <c r="Q190" s="32"/>
      <c r="R190" s="32"/>
      <c r="S190" s="32"/>
      <c r="T190" s="32"/>
      <c r="U190" s="32"/>
      <c r="V190" s="32"/>
      <c r="W190" s="32"/>
      <c r="X190" s="32"/>
      <c r="Y190" s="32"/>
      <c r="Z190" s="32"/>
    </row>
    <row r="191" spans="1:26" x14ac:dyDescent="0.2">
      <c r="A191" s="32"/>
      <c r="G191" s="32"/>
      <c r="H191" s="32"/>
      <c r="I191" s="32"/>
      <c r="J191" s="32"/>
      <c r="K191" s="32"/>
      <c r="L191" s="32"/>
      <c r="M191" s="32"/>
      <c r="N191" s="32"/>
      <c r="O191" s="32"/>
      <c r="P191" s="32"/>
      <c r="Q191" s="32"/>
      <c r="R191" s="32"/>
      <c r="S191" s="32"/>
      <c r="T191" s="32"/>
      <c r="U191" s="32"/>
      <c r="V191" s="32"/>
      <c r="W191" s="32"/>
      <c r="X191" s="32"/>
      <c r="Y191" s="32"/>
      <c r="Z191" s="32"/>
    </row>
    <row r="192" spans="1:26" x14ac:dyDescent="0.2">
      <c r="A192" s="32"/>
      <c r="G192" s="32"/>
      <c r="H192" s="32"/>
      <c r="I192" s="32"/>
      <c r="J192" s="32"/>
      <c r="K192" s="32"/>
      <c r="L192" s="32"/>
      <c r="M192" s="32"/>
      <c r="N192" s="32"/>
      <c r="O192" s="32"/>
      <c r="P192" s="32"/>
      <c r="Q192" s="32"/>
      <c r="R192" s="32"/>
      <c r="S192" s="32"/>
      <c r="T192" s="32"/>
      <c r="U192" s="32"/>
      <c r="V192" s="32"/>
      <c r="W192" s="32"/>
      <c r="X192" s="32"/>
      <c r="Y192" s="32"/>
      <c r="Z192" s="32"/>
    </row>
    <row r="193" spans="1:26" x14ac:dyDescent="0.2">
      <c r="A193" s="32"/>
      <c r="G193" s="32"/>
      <c r="H193" s="32"/>
      <c r="I193" s="32"/>
      <c r="J193" s="32"/>
      <c r="K193" s="32"/>
      <c r="L193" s="32"/>
      <c r="M193" s="32"/>
      <c r="N193" s="32"/>
      <c r="O193" s="32"/>
      <c r="P193" s="32"/>
      <c r="Q193" s="32"/>
      <c r="R193" s="32"/>
      <c r="S193" s="32"/>
      <c r="T193" s="32"/>
      <c r="U193" s="32"/>
      <c r="V193" s="32"/>
      <c r="W193" s="32"/>
      <c r="X193" s="32"/>
      <c r="Y193" s="32"/>
      <c r="Z193" s="32"/>
    </row>
    <row r="194" spans="1:26" x14ac:dyDescent="0.2">
      <c r="A194" s="32"/>
      <c r="G194" s="32"/>
      <c r="H194" s="32"/>
      <c r="I194" s="32"/>
      <c r="J194" s="32"/>
      <c r="K194" s="32"/>
      <c r="L194" s="32"/>
      <c r="M194" s="32"/>
      <c r="N194" s="32"/>
      <c r="O194" s="32"/>
      <c r="P194" s="32"/>
      <c r="Q194" s="32"/>
      <c r="R194" s="32"/>
      <c r="S194" s="32"/>
      <c r="T194" s="32"/>
      <c r="U194" s="32"/>
      <c r="V194" s="32"/>
      <c r="W194" s="32"/>
      <c r="X194" s="32"/>
      <c r="Y194" s="32"/>
      <c r="Z194" s="32"/>
    </row>
    <row r="195" spans="1:26" x14ac:dyDescent="0.2">
      <c r="A195" s="32"/>
      <c r="G195" s="32"/>
      <c r="H195" s="32"/>
      <c r="I195" s="32"/>
      <c r="J195" s="32"/>
      <c r="K195" s="32"/>
      <c r="L195" s="32"/>
      <c r="M195" s="32"/>
      <c r="N195" s="32"/>
      <c r="O195" s="32"/>
      <c r="P195" s="32"/>
      <c r="Q195" s="32"/>
      <c r="R195" s="32"/>
      <c r="S195" s="32"/>
      <c r="T195" s="32"/>
      <c r="U195" s="32"/>
      <c r="V195" s="32"/>
      <c r="W195" s="32"/>
      <c r="X195" s="32"/>
      <c r="Y195" s="32"/>
      <c r="Z195" s="32"/>
    </row>
    <row r="196" spans="1:26" x14ac:dyDescent="0.2">
      <c r="A196" s="32"/>
      <c r="G196" s="32"/>
      <c r="H196" s="32"/>
      <c r="I196" s="32"/>
      <c r="J196" s="32"/>
      <c r="K196" s="32"/>
      <c r="L196" s="32"/>
      <c r="M196" s="32"/>
      <c r="N196" s="32"/>
      <c r="O196" s="32"/>
      <c r="P196" s="32"/>
      <c r="Q196" s="32"/>
      <c r="R196" s="32"/>
      <c r="S196" s="32"/>
      <c r="T196" s="32"/>
      <c r="U196" s="32"/>
      <c r="V196" s="32"/>
      <c r="W196" s="32"/>
      <c r="X196" s="32"/>
      <c r="Y196" s="32"/>
      <c r="Z196" s="32"/>
    </row>
    <row r="197" spans="1:26" x14ac:dyDescent="0.2">
      <c r="A197" s="32"/>
      <c r="G197" s="32"/>
      <c r="H197" s="32"/>
      <c r="I197" s="32"/>
      <c r="J197" s="32"/>
      <c r="K197" s="32"/>
      <c r="L197" s="32"/>
      <c r="M197" s="32"/>
      <c r="N197" s="32"/>
      <c r="O197" s="32"/>
      <c r="P197" s="32"/>
      <c r="Q197" s="32"/>
      <c r="R197" s="32"/>
      <c r="S197" s="32"/>
      <c r="T197" s="32"/>
      <c r="U197" s="32"/>
      <c r="V197" s="32"/>
      <c r="W197" s="32"/>
      <c r="X197" s="32"/>
      <c r="Y197" s="32"/>
      <c r="Z197" s="32"/>
    </row>
    <row r="198" spans="1:26" x14ac:dyDescent="0.2">
      <c r="A198" s="32"/>
      <c r="G198" s="32"/>
      <c r="H198" s="32"/>
      <c r="I198" s="32"/>
      <c r="J198" s="32"/>
      <c r="K198" s="32"/>
      <c r="L198" s="32"/>
      <c r="M198" s="32"/>
      <c r="N198" s="32"/>
      <c r="O198" s="32"/>
      <c r="P198" s="32"/>
      <c r="Q198" s="32"/>
      <c r="R198" s="32"/>
      <c r="S198" s="32"/>
      <c r="T198" s="32"/>
      <c r="U198" s="32"/>
      <c r="V198" s="32"/>
      <c r="W198" s="32"/>
      <c r="X198" s="32"/>
      <c r="Y198" s="32"/>
      <c r="Z198" s="32"/>
    </row>
    <row r="199" spans="1:26" x14ac:dyDescent="0.2">
      <c r="A199" s="32"/>
      <c r="G199" s="32"/>
      <c r="H199" s="32"/>
      <c r="I199" s="32"/>
      <c r="J199" s="32"/>
      <c r="K199" s="32"/>
      <c r="L199" s="32"/>
      <c r="M199" s="32"/>
      <c r="N199" s="32"/>
      <c r="O199" s="32"/>
      <c r="P199" s="32"/>
      <c r="Q199" s="32"/>
      <c r="R199" s="32"/>
      <c r="S199" s="32"/>
      <c r="T199" s="32"/>
      <c r="U199" s="32"/>
      <c r="V199" s="32"/>
      <c r="W199" s="32"/>
      <c r="X199" s="32"/>
      <c r="Y199" s="32"/>
      <c r="Z199" s="32"/>
    </row>
    <row r="200" spans="1:26" x14ac:dyDescent="0.2">
      <c r="A200" s="32"/>
      <c r="G200" s="32"/>
      <c r="H200" s="32"/>
      <c r="I200" s="32"/>
      <c r="J200" s="32"/>
      <c r="K200" s="32"/>
      <c r="L200" s="32"/>
      <c r="M200" s="32"/>
      <c r="N200" s="32"/>
      <c r="O200" s="32"/>
      <c r="P200" s="32"/>
      <c r="Q200" s="32"/>
      <c r="R200" s="32"/>
      <c r="S200" s="32"/>
      <c r="T200" s="32"/>
      <c r="U200" s="32"/>
      <c r="V200" s="32"/>
      <c r="W200" s="32"/>
      <c r="X200" s="32"/>
      <c r="Y200" s="32"/>
      <c r="Z200" s="32"/>
    </row>
  </sheetData>
  <pageMargins left="0.7" right="0.7" top="0.75" bottom="0.75" header="0.3" footer="0.3"/>
  <ignoredErrors>
    <ignoredError sqref="E4:E7 E9 E11 E13 E15 E18:E19 E22:E23 E28 E30 E33 E37 E39" numberStoredAsText="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5bf6ffdf-34ca-4b16-97ff-164d52f25c65"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E8992A463BE7540A3326B92716D3132" ma:contentTypeVersion="7" ma:contentTypeDescription="Create a new document." ma:contentTypeScope="" ma:versionID="c329e9c21441dbd6700d62f08c34f1a9">
  <xsd:schema xmlns:xsd="http://www.w3.org/2001/XMLSchema" xmlns:xs="http://www.w3.org/2001/XMLSchema" xmlns:p="http://schemas.microsoft.com/office/2006/metadata/properties" xmlns:ns3="5bf6ffdf-34ca-4b16-97ff-164d52f25c65" targetNamespace="http://schemas.microsoft.com/office/2006/metadata/properties" ma:root="true" ma:fieldsID="12d63a50dcf74ffe2a80c939b3de319c" ns3:_="">
    <xsd:import namespace="5bf6ffdf-34ca-4b16-97ff-164d52f25c65"/>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GenerationTime" minOccurs="0"/>
                <xsd:element ref="ns3:MediaServiceEventHashCode"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bf6ffdf-34ca-4b16-97ff-164d52f25c65"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_activity" ma:index="14"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031AA27-0C4F-43AB-ACDE-F35B4559997D}">
  <ds:schemaRefs>
    <ds:schemaRef ds:uri="http://schemas.microsoft.com/sharepoint/v3/contenttype/forms"/>
  </ds:schemaRefs>
</ds:datastoreItem>
</file>

<file path=customXml/itemProps2.xml><?xml version="1.0" encoding="utf-8"?>
<ds:datastoreItem xmlns:ds="http://schemas.openxmlformats.org/officeDocument/2006/customXml" ds:itemID="{9095897E-ACBD-4A0C-9D8B-A703975C4037}">
  <ds:schemaRefs>
    <ds:schemaRef ds:uri="http://schemas.microsoft.com/office/2006/documentManagement/types"/>
    <ds:schemaRef ds:uri="5bf6ffdf-34ca-4b16-97ff-164d52f25c65"/>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486D993A-57D8-498F-9BB9-964E1900E9B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bf6ffdf-34ca-4b16-97ff-164d52f25c6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Jobs</vt:lpstr>
      <vt:lpstr>Own figures</vt:lpstr>
      <vt:lpstr>Principals</vt:lpstr>
      <vt:lpstr>Garages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Matthew</dc:creator>
  <cp:keywords/>
  <dc:description/>
  <cp:lastModifiedBy>Collision Engineers</cp:lastModifiedBy>
  <cp:revision/>
  <dcterms:created xsi:type="dcterms:W3CDTF">2025-10-09T19:41:53Z</dcterms:created>
  <dcterms:modified xsi:type="dcterms:W3CDTF">2026-04-29T15:17:38Z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0x0101008E8992A463BE7540A3326B92716D3132</vt:lpwstr>
  </property>
</Properties>
</file>